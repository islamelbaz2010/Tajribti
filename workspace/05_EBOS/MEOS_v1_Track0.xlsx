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RM" sheetId="2" state="visible" r:id="rId2"/>
    <sheet xmlns:r="http://schemas.openxmlformats.org/officeDocument/2006/relationships" name="Pipeline" sheetId="3" state="visible" r:id="rId3"/>
    <sheet xmlns:r="http://schemas.openxmlformats.org/officeDocument/2006/relationships" name="LOI" sheetId="4" state="visible" r:id="rId4"/>
    <sheet xmlns:r="http://schemas.openxmlformats.org/officeDocument/2006/relationships" name="Calendar" sheetId="5" state="visible" r:id="rId5"/>
  </sheets>
  <definedNames>
    <definedName name="GO_Date">Dashboard!$A$2</definedName>
    <definedName name="CRM_AccountIDs">CRM!$A:$A</definedName>
    <definedName name="CRM_Stages">CRM!$R:$R</definedName>
    <definedName name="CRM_PilotInterest">CRM!$Z:$Z</definedName>
    <definedName name="CRM_NextActionDate">CRM!$Q:$Q</definedName>
    <definedName name="CRM_DiscoveryCallDate">CRM!$S:$S</definedName>
    <definedName name="CRM_FirstOutreachDate">CRM!$K:$K</definedName>
    <definedName name="Pipeline_Stages">Pipeline!$E:$E</definedName>
    <definedName name="Pipeline_EntryDate">Pipeline!$F:$F</definedName>
    <definedName name="Pipeline_AccountIDs">Pipeline!$A:$A</definedName>
    <definedName name="LOI_Status">LOI!$I:$I</definedName>
    <definedName name="LOI_PilotStatus">LOI!$K:$K</definedName>
    <definedName name="LOI_IssuedDate">LOI!$F:$F</definedName>
    <definedName name="LOI_AccountIDs">LOI!$B:$B</definedName>
    <definedName name="LOI_DaysSinceIssued">LOI!$Q:$Q</definedName>
    <definedName name="Pipeline_KillCriterionCount">Pipeline!$B$12</definedName>
    <definedName name="_xlnm.Print_Area" localSheetId="0">'Dashboard'!$A$1:$M$64</definedName>
    <definedName name="_xlnm._FilterDatabase" localSheetId="1" hidden="1">'CRM'!$A$1:$AD$1</definedName>
    <definedName name="_xlnm.Print_Titles" localSheetId="1">'CRM'!$1:$1</definedName>
    <definedName name="_xlnm.Print_Area" localSheetId="1">'CRM'!$A$1:$AA$50</definedName>
    <definedName name="_xlnm._FilterDatabase" localSheetId="2" hidden="1">'Pipeline'!$A$14:$J$14</definedName>
    <definedName name="_xlnm.Print_Titles" localSheetId="2">'Pipeline'!$14:$14</definedName>
    <definedName name="_xlnm.Print_Area" localSheetId="2">'Pipeline'!$A$14:$J$200</definedName>
    <definedName name="_xlnm._FilterDatabase" localSheetId="3" hidden="1">'LOI'!$A$4:$R$4</definedName>
    <definedName name="_xlnm.Print_Area" localSheetId="3">'LOI'!$A$1:$P$50</definedName>
    <definedName name="_xlnm.Print_Area" localSheetId="4">'Calendar'!$A$1:$H$200,'Calendar'!$J$1:$P$100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GO Date: &quot;YYYY-MM-DD"/>
    <numFmt numFmtId="165" formatCode="&quot;Day 60 Target: &quot;YYYY-MM-DD"/>
    <numFmt numFmtId="166" formatCode="YYYY-MM-DD"/>
  </numFmts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374151"/>
      <sz val="10"/>
    </font>
    <font>
      <b val="1"/>
      <color rgb="00FFFFFF"/>
      <sz val="10"/>
    </font>
    <font>
      <b val="1"/>
      <color rgb="00FFFFFF"/>
      <sz val="12"/>
    </font>
    <font>
      <b val="1"/>
      <color rgb="001D4ED8"/>
    </font>
    <font>
      <color rgb="00991B1B"/>
    </font>
    <font>
      <b val="1"/>
      <color rgb="00374151"/>
    </font>
    <font>
      <color rgb="00374151"/>
    </font>
    <font>
      <color rgb="006B7280"/>
    </font>
    <font>
      <b val="1"/>
      <color rgb="00FFFFFF"/>
      <sz val="13"/>
    </font>
    <font>
      <b val="1"/>
      <color rgb="00FFFFFF"/>
      <sz val="11"/>
    </font>
    <font>
      <b val="1"/>
      <color rgb="00FFFFFF"/>
    </font>
    <font>
      <b val="1"/>
      <color rgb="00854D0E"/>
    </font>
    <font>
      <b val="1"/>
      <color rgb="00991B1B"/>
      <sz val="10"/>
    </font>
  </fonts>
  <fills count="1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  <fill>
      <patternFill patternType="solid">
        <fgColor rgb="00EFF6FF"/>
        <bgColor rgb="00EFF6FF"/>
      </patternFill>
    </fill>
    <fill>
      <patternFill patternType="solid">
        <fgColor rgb="00FEE2E2"/>
        <bgColor rgb="00FEE2E2"/>
      </patternFill>
    </fill>
    <fill>
      <patternFill patternType="solid">
        <fgColor rgb="001D4ED8"/>
        <bgColor rgb="001D4ED8"/>
      </patternFill>
    </fill>
    <fill>
      <patternFill patternType="solid">
        <fgColor rgb="00F9FAFB"/>
        <bgColor rgb="00F9FAFB"/>
      </patternFill>
    </fill>
    <fill>
      <patternFill patternType="solid">
        <fgColor rgb="00374151"/>
        <bgColor rgb="00374151"/>
      </patternFill>
    </fill>
    <fill>
      <patternFill patternType="solid">
        <fgColor rgb="00FFFFFF"/>
        <bgColor rgb="00FFFFFF"/>
      </patternFill>
    </fill>
    <fill>
      <patternFill patternType="solid">
        <fgColor rgb="00E5E7EB"/>
        <bgColor rgb="00E5E7EB"/>
      </patternFill>
    </fill>
    <fill>
      <patternFill patternType="solid">
        <fgColor rgb="00FFFBEB"/>
        <bgColor rgb="00FFFBEB"/>
      </patternFill>
    </fill>
    <fill>
      <patternFill patternType="solid">
        <fgColor rgb="007C3AED"/>
        <bgColor rgb="007C3AED"/>
      </patternFill>
    </fill>
    <fill>
      <patternFill patternType="solid">
        <fgColor rgb="00EA580C"/>
        <bgColor rgb="00EA580C"/>
      </patternFill>
    </fill>
    <fill>
      <patternFill patternType="solid">
        <fgColor rgb="0015803D"/>
        <bgColor rgb="0015803D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165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0" fillId="0" borderId="1" pivotButton="0" quotePrefix="0" xfId="0"/>
    <xf numFmtId="166" fontId="0" fillId="0" borderId="1" pivotButton="0" quotePrefix="0" xfId="0"/>
    <xf numFmtId="0" fontId="9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" fontId="5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1" fontId="12" fillId="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10" fillId="14" borderId="0" applyAlignment="1" pivotButton="0" quotePrefix="0" xfId="0">
      <alignment horizontal="center" vertical="center"/>
    </xf>
    <xf numFmtId="166" fontId="5" fillId="3" borderId="0" applyAlignment="1" pivotButton="0" quotePrefix="0" xfId="0">
      <alignment horizontal="center" vertical="center"/>
    </xf>
    <xf numFmtId="1" fontId="5" fillId="3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/>
    </xf>
    <xf numFmtId="9" fontId="7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166" fontId="8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0" fillId="10" borderId="0" pivotButton="0" quotePrefix="0" xfId="0"/>
    <xf numFmtId="0" fontId="14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23">
    <dxf>
      <font>
        <color rgb="00065F46"/>
      </font>
      <fill>
        <patternFill patternType="solid">
          <fgColor rgb="00D1FAE5"/>
          <bgColor rgb="00D1FAE5"/>
        </patternFill>
      </fill>
    </dxf>
    <dxf>
      <font>
        <color rgb="0092400E"/>
      </font>
      <fill>
        <patternFill patternType="solid">
          <fgColor rgb="00FEF3C7"/>
          <bgColor rgb="00FEF3C7"/>
        </patternFill>
      </fill>
    </dxf>
    <dxf>
      <font>
        <color rgb="00991B1B"/>
      </font>
      <fill>
        <patternFill patternType="solid">
          <fgColor rgb="00FEE2E2"/>
          <bgColor rgb="00FEE2E2"/>
        </patternFill>
      </fill>
    </dxf>
    <dxf>
      <font>
        <b val="1"/>
        <color rgb="001D4ED8"/>
      </font>
      <fill>
        <patternFill patternType="solid">
          <fgColor rgb="00EFF6FF"/>
          <bgColor rgb="00EFF6FF"/>
        </patternFill>
      </fill>
    </dxf>
    <dxf>
      <fill>
        <patternFill patternType="solid">
          <fgColor rgb="00D1FAE5"/>
          <bgColor rgb="00D1FAE5"/>
        </patternFill>
      </fill>
    </dxf>
    <dxf>
      <fill>
        <patternFill patternType="solid">
          <fgColor rgb="00FEE2E2"/>
          <bgColor rgb="00FEE2E2"/>
        </patternFill>
      </fill>
    </dxf>
    <dxf>
      <font>
        <color rgb="00065F46"/>
      </font>
      <fill>
        <patternFill patternType="solid">
          <fgColor rgb="00ECFDF5"/>
          <bgColor rgb="00ECFDF5"/>
        </patternFill>
      </fill>
    </dxf>
    <dxf>
      <font>
        <color rgb="0092400E"/>
      </font>
      <fill>
        <patternFill patternType="solid">
          <fgColor rgb="00FFF7ED"/>
          <bgColor rgb="00FFF7ED"/>
        </patternFill>
      </fill>
    </dxf>
    <dxf>
      <font>
        <i val="1"/>
        <color rgb="009CA3AF"/>
      </font>
      <fill>
        <patternFill patternType="solid">
          <fgColor rgb="00F9FAFB"/>
          <bgColor rgb="00F9FAFB"/>
        </patternFill>
      </fill>
    </dxf>
    <dxf>
      <font>
        <b val="1"/>
        <color rgb="00991B1B"/>
      </font>
      <fill>
        <patternFill patternType="solid">
          <fgColor rgb="00FEE2E2"/>
          <bgColor rgb="00FEE2E2"/>
        </patternFill>
      </fill>
    </dxf>
    <dxf>
      <font>
        <color rgb="006B7280"/>
      </font>
      <fill>
        <patternFill patternType="solid">
          <fgColor rgb="00F3F4F6"/>
          <bgColor rgb="00F3F4F6"/>
        </patternFill>
      </fill>
    </dxf>
    <dxf>
      <font>
        <color rgb="001D4ED8"/>
      </font>
      <fill>
        <patternFill patternType="solid">
          <fgColor rgb="00EFF6FF"/>
          <bgColor rgb="00EFF6FF"/>
        </patternFill>
      </fill>
    </dxf>
    <dxf>
      <font>
        <color rgb="0015803D"/>
      </font>
      <fill>
        <patternFill patternType="solid">
          <fgColor rgb="00F0FDF4"/>
          <bgColor rgb="00F0FDF4"/>
        </patternFill>
      </fill>
    </dxf>
    <dxf>
      <font>
        <color rgb="00854D0E"/>
      </font>
      <fill>
        <patternFill patternType="solid">
          <fgColor rgb="00FEF9C3"/>
          <bgColor rgb="00FEF9C3"/>
        </patternFill>
      </fill>
    </dxf>
    <dxf>
      <font>
        <color rgb="009A3412"/>
      </font>
      <fill>
        <patternFill patternType="solid">
          <fgColor rgb="00FFF7ED"/>
          <bgColor rgb="00FFF7ED"/>
        </patternFill>
      </fill>
    </dxf>
    <dxf>
      <font>
        <b val="1"/>
        <color rgb="00065F46"/>
      </font>
      <fill>
        <patternFill patternType="solid">
          <fgColor rgb="00D1FAE5"/>
          <bgColor rgb="00D1FAE5"/>
        </patternFill>
      </fill>
    </dxf>
    <dxf>
      <font>
        <i val="1"/>
        <color rgb="009CA3AF"/>
      </font>
      <fill>
        <patternFill patternType="solid">
          <fgColor rgb="00F3F4F6"/>
          <bgColor rgb="00F3F4F6"/>
        </patternFill>
      </fill>
    </dxf>
    <dxf>
      <font>
        <color rgb="006B7280"/>
      </font>
      <fill>
        <patternFill patternType="solid">
          <fgColor rgb="00F9FAFB"/>
          <bgColor rgb="00F9FAFB"/>
        </patternFill>
      </fill>
    </dxf>
    <dxf>
      <font>
        <b val="1"/>
        <color rgb="00854D0E"/>
      </font>
      <fill>
        <patternFill patternType="solid">
          <fgColor rgb="00FEF9C3"/>
          <bgColor rgb="00FEF9C3"/>
        </patternFill>
      </fill>
    </dxf>
    <dxf>
      <font>
        <color rgb="00065F46"/>
      </font>
      <fill>
        <patternFill patternType="solid">
          <fgColor rgb="00F0FDF4"/>
          <bgColor rgb="00F0FDF4"/>
        </patternFill>
      </fill>
    </dxf>
    <dxf>
      <font>
        <color rgb="00854D0E"/>
      </font>
      <fill>
        <patternFill patternType="solid">
          <fgColor rgb="00FFFBEB"/>
          <bgColor rgb="00FFFBEB"/>
        </patternFill>
      </fill>
    </dxf>
    <dxf>
      <fill>
        <patternFill patternType="solid">
          <fgColor rgb="00374151"/>
          <bgColor rgb="00374151"/>
        </patternFill>
      </fill>
    </dxf>
    <dxf>
      <font>
        <color rgb="0092400E"/>
      </font>
      <fill>
        <patternFill patternType="solid">
          <fgColor rgb="00FEF9C3"/>
          <bgColor rgb="00FEF9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2937"/>
    <outlinePr summaryBelow="1" summaryRight="1"/>
    <pageSetUpPr fitToPage="1"/>
  </sheetPr>
  <dimension ref="A1:M7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4.7" customWidth="1" min="2" max="2"/>
    <col width="17.3" customWidth="1" min="3" max="3"/>
    <col width="17.3" customWidth="1" min="4" max="4"/>
    <col width="17.3" customWidth="1" min="5" max="5"/>
    <col width="18.7" customWidth="1" min="6" max="6"/>
    <col width="12" customWidth="1" min="7" max="7"/>
    <col width="12" customWidth="1" min="8" max="8"/>
    <col width="12" customWidth="1" min="9" max="9"/>
    <col width="17.3" customWidth="1" min="10" max="10"/>
    <col width="40" customWidth="1" min="11" max="11"/>
    <col width="33.3" customWidth="1" min="12" max="12"/>
    <col width="33.3" customWidth="1" min="13" max="13"/>
  </cols>
  <sheetData>
    <row r="1" ht="24" customHeight="1">
      <c r="A1" s="1" t="inlineStr">
        <is>
          <t>TAJRIBTI · MEOS v1 · FOUNDER DASHBOARD · Track 0</t>
        </is>
      </c>
    </row>
    <row r="2" ht="18" customHeight="1">
      <c r="A2" s="2" t="n"/>
      <c r="B2" s="3" t="n"/>
      <c r="C2" s="4">
        <f>A2+59</f>
        <v/>
      </c>
      <c r="D2" s="3" t="n"/>
      <c r="E2" s="5" t="inlineStr">
        <is>
          <t>Kill Criterion: 5 interested companies (Stage 2+)</t>
        </is>
      </c>
      <c r="H2" s="6" t="inlineStr">
        <is>
          <t>Budget: $15,000–$25,000</t>
        </is>
      </c>
      <c r="I2" s="6" t="n"/>
      <c r="J2" s="6" t="inlineStr">
        <is>
          <t>Sprint Owner: Founder / CEO</t>
        </is>
      </c>
    </row>
    <row r="3" ht="6" customHeight="1"/>
    <row r="4" ht="24" customHeight="1">
      <c r="A4" s="7" t="inlineStr">
        <is>
          <t>Day #</t>
        </is>
      </c>
      <c r="B4" s="7" t="inlineStr">
        <is>
          <t>Date</t>
        </is>
      </c>
      <c r="C4" s="7" t="inlineStr">
        <is>
          <t>Accounts Contacted (Cumul.)</t>
        </is>
      </c>
      <c r="D4" s="7" t="inlineStr">
        <is>
          <t>Discovery Calls Booked</t>
        </is>
      </c>
      <c r="E4" s="7" t="inlineStr">
        <is>
          <t>Discovery Calls Completed</t>
        </is>
      </c>
      <c r="F4" s="7" t="inlineStr">
        <is>
          <t>Brands in Pipeline (Stage 2+)</t>
        </is>
      </c>
      <c r="G4" s="7" t="inlineStr">
        <is>
          <t>LOIs Issued</t>
        </is>
      </c>
      <c r="H4" s="7" t="inlineStr">
        <is>
          <t>LOIs Signed</t>
        </is>
      </c>
      <c r="I4" s="7" t="inlineStr">
        <is>
          <t>Pilots Signed</t>
        </is>
      </c>
      <c r="J4" s="7" t="inlineStr">
        <is>
          <t>Kill Criterion Status</t>
        </is>
      </c>
      <c r="K4" s="7" t="inlineStr">
        <is>
          <t>Today's #1 Priority</t>
        </is>
      </c>
      <c r="L4" s="7" t="inlineStr">
        <is>
          <t>Blockers</t>
        </is>
      </c>
      <c r="M4" s="7" t="inlineStr">
        <is>
          <t>Notes</t>
        </is>
      </c>
    </row>
    <row r="5" ht="18" customHeight="1">
      <c r="A5" s="8">
        <f>IF(B5="","",B5-$A$2+1)</f>
        <v/>
      </c>
      <c r="B5" s="9">
        <f>A2</f>
        <v/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1" t="inlineStr">
        <is>
          <t>❌ Not Met</t>
        </is>
      </c>
      <c r="K5" s="12" t="n"/>
      <c r="L5" s="12" t="n"/>
      <c r="M5" s="12" t="n"/>
    </row>
    <row r="6" ht="18" customHeight="1">
      <c r="A6" s="8">
        <f>IF(B6="","",B6-$A$2+1)</f>
        <v/>
      </c>
      <c r="B6" s="9">
        <f>B5+1</f>
        <v/>
      </c>
      <c r="C6" s="10" t="n"/>
      <c r="D6" s="10" t="n"/>
      <c r="E6" s="10" t="n"/>
      <c r="F6" s="10" t="n"/>
      <c r="G6" s="10" t="n"/>
      <c r="H6" s="10" t="n"/>
      <c r="I6" s="10" t="n"/>
      <c r="J6" s="8" t="n"/>
      <c r="K6" s="12" t="n"/>
      <c r="L6" s="12" t="n"/>
      <c r="M6" s="12" t="n"/>
    </row>
    <row r="7" ht="18" customHeight="1">
      <c r="A7" s="8">
        <f>IF(B7="","",B7-$A$2+1)</f>
        <v/>
      </c>
      <c r="B7" s="9">
        <f>B6+1</f>
        <v/>
      </c>
      <c r="C7" s="10" t="n"/>
      <c r="D7" s="10" t="n"/>
      <c r="E7" s="10" t="n"/>
      <c r="F7" s="10" t="n"/>
      <c r="G7" s="10" t="n"/>
      <c r="H7" s="10" t="n"/>
      <c r="I7" s="10" t="n"/>
      <c r="J7" s="8" t="n"/>
      <c r="K7" s="12" t="n"/>
      <c r="L7" s="12" t="n"/>
      <c r="M7" s="12" t="n"/>
    </row>
    <row r="8" ht="18" customHeight="1">
      <c r="A8" s="8">
        <f>IF(B8="","",B8-$A$2+1)</f>
        <v/>
      </c>
      <c r="B8" s="9">
        <f>B7+1</f>
        <v/>
      </c>
      <c r="C8" s="10" t="n"/>
      <c r="D8" s="10" t="n"/>
      <c r="E8" s="10" t="n"/>
      <c r="F8" s="10" t="n"/>
      <c r="G8" s="10" t="n"/>
      <c r="H8" s="10" t="n"/>
      <c r="I8" s="10" t="n"/>
      <c r="J8" s="8" t="n"/>
      <c r="K8" s="12" t="n"/>
      <c r="L8" s="12" t="n"/>
      <c r="M8" s="12" t="n"/>
    </row>
    <row r="9" ht="18" customHeight="1">
      <c r="A9" s="8">
        <f>IF(B9="","",B9-$A$2+1)</f>
        <v/>
      </c>
      <c r="B9" s="9">
        <f>B8+1</f>
        <v/>
      </c>
      <c r="C9" s="10" t="n"/>
      <c r="D9" s="10" t="n"/>
      <c r="E9" s="10" t="n"/>
      <c r="F9" s="10" t="n"/>
      <c r="G9" s="10" t="n"/>
      <c r="H9" s="10" t="n"/>
      <c r="I9" s="10" t="n"/>
      <c r="J9" s="8" t="n"/>
      <c r="K9" s="12" t="n"/>
      <c r="L9" s="12" t="n"/>
      <c r="M9" s="12" t="n"/>
    </row>
    <row r="10" ht="18" customHeight="1">
      <c r="A10" s="8">
        <f>IF(B10="","",B10-$A$2+1)</f>
        <v/>
      </c>
      <c r="B10" s="9">
        <f>B9+1</f>
        <v/>
      </c>
      <c r="C10" s="10" t="n"/>
      <c r="D10" s="10" t="n"/>
      <c r="E10" s="10" t="n"/>
      <c r="F10" s="10" t="n"/>
      <c r="G10" s="10" t="n"/>
      <c r="H10" s="10" t="n"/>
      <c r="I10" s="10" t="n"/>
      <c r="J10" s="8" t="n"/>
      <c r="K10" s="12" t="n"/>
      <c r="L10" s="12" t="n"/>
      <c r="M10" s="12" t="n"/>
    </row>
    <row r="11" ht="18" customHeight="1">
      <c r="A11" s="8">
        <f>IF(B11="","",B11-$A$2+1)</f>
        <v/>
      </c>
      <c r="B11" s="9">
        <f>B10+1</f>
        <v/>
      </c>
      <c r="C11" s="10" t="n"/>
      <c r="D11" s="10" t="n"/>
      <c r="E11" s="10" t="n"/>
      <c r="F11" s="10" t="n"/>
      <c r="G11" s="10" t="n"/>
      <c r="H11" s="10" t="n"/>
      <c r="I11" s="10" t="n"/>
      <c r="J11" s="8" t="n"/>
      <c r="K11" s="12" t="n"/>
      <c r="L11" s="12" t="n"/>
      <c r="M11" s="12" t="n"/>
    </row>
    <row r="12" ht="18" customHeight="1">
      <c r="A12" s="8">
        <f>IF(B12="","",B12-$A$2+1)</f>
        <v/>
      </c>
      <c r="B12" s="9">
        <f>B11+1</f>
        <v/>
      </c>
      <c r="C12" s="10" t="n"/>
      <c r="D12" s="10" t="n"/>
      <c r="E12" s="10" t="n"/>
      <c r="F12" s="10" t="n"/>
      <c r="G12" s="10" t="n"/>
      <c r="H12" s="10" t="n"/>
      <c r="I12" s="10" t="n"/>
      <c r="J12" s="8" t="n"/>
      <c r="K12" s="12" t="n"/>
      <c r="L12" s="12" t="n"/>
      <c r="M12" s="12" t="n"/>
    </row>
    <row r="13" ht="18" customHeight="1">
      <c r="A13" s="8">
        <f>IF(B13="","",B13-$A$2+1)</f>
        <v/>
      </c>
      <c r="B13" s="9">
        <f>B12+1</f>
        <v/>
      </c>
      <c r="C13" s="10" t="n"/>
      <c r="D13" s="10" t="n"/>
      <c r="E13" s="10" t="n"/>
      <c r="F13" s="10" t="n"/>
      <c r="G13" s="10" t="n"/>
      <c r="H13" s="10" t="n"/>
      <c r="I13" s="10" t="n"/>
      <c r="J13" s="8" t="n"/>
      <c r="K13" s="12" t="n"/>
      <c r="L13" s="12" t="n"/>
      <c r="M13" s="12" t="n"/>
    </row>
    <row r="14" ht="18" customHeight="1">
      <c r="A14" s="8">
        <f>IF(B14="","",B14-$A$2+1)</f>
        <v/>
      </c>
      <c r="B14" s="9">
        <f>B13+1</f>
        <v/>
      </c>
      <c r="C14" s="10" t="n"/>
      <c r="D14" s="10" t="n"/>
      <c r="E14" s="10" t="n"/>
      <c r="F14" s="10" t="n"/>
      <c r="G14" s="10" t="n"/>
      <c r="H14" s="10" t="n"/>
      <c r="I14" s="10" t="n"/>
      <c r="J14" s="8" t="n"/>
      <c r="K14" s="12" t="n"/>
      <c r="L14" s="12" t="n"/>
      <c r="M14" s="12" t="n"/>
    </row>
    <row r="15" ht="18" customHeight="1">
      <c r="A15" s="8">
        <f>IF(B15="","",B15-$A$2+1)</f>
        <v/>
      </c>
      <c r="B15" s="9">
        <f>B14+1</f>
        <v/>
      </c>
      <c r="C15" s="10" t="n"/>
      <c r="D15" s="10" t="n"/>
      <c r="E15" s="10" t="n"/>
      <c r="F15" s="10" t="n"/>
      <c r="G15" s="10" t="n"/>
      <c r="H15" s="10" t="n"/>
      <c r="I15" s="10" t="n"/>
      <c r="J15" s="8" t="n"/>
      <c r="K15" s="12" t="n"/>
      <c r="L15" s="12" t="n"/>
      <c r="M15" s="12" t="n"/>
    </row>
    <row r="16" ht="18" customHeight="1">
      <c r="A16" s="8">
        <f>IF(B16="","",B16-$A$2+1)</f>
        <v/>
      </c>
      <c r="B16" s="9">
        <f>B15+1</f>
        <v/>
      </c>
      <c r="C16" s="10" t="n"/>
      <c r="D16" s="10" t="n"/>
      <c r="E16" s="10" t="n"/>
      <c r="F16" s="10" t="n"/>
      <c r="G16" s="10" t="n"/>
      <c r="H16" s="10" t="n"/>
      <c r="I16" s="10" t="n"/>
      <c r="J16" s="8" t="n"/>
      <c r="K16" s="12" t="n"/>
      <c r="L16" s="12" t="n"/>
      <c r="M16" s="12" t="n"/>
    </row>
    <row r="17" ht="18" customHeight="1">
      <c r="A17" s="8">
        <f>IF(B17="","",B17-$A$2+1)</f>
        <v/>
      </c>
      <c r="B17" s="9">
        <f>B16+1</f>
        <v/>
      </c>
      <c r="C17" s="10" t="n"/>
      <c r="D17" s="10" t="n"/>
      <c r="E17" s="10" t="n"/>
      <c r="F17" s="10" t="n"/>
      <c r="G17" s="10" t="n"/>
      <c r="H17" s="10" t="n"/>
      <c r="I17" s="10" t="n"/>
      <c r="J17" s="8" t="n"/>
      <c r="K17" s="12" t="n"/>
      <c r="L17" s="12" t="n"/>
      <c r="M17" s="12" t="n"/>
    </row>
    <row r="18" ht="18" customHeight="1">
      <c r="A18" s="8">
        <f>IF(B18="","",B18-$A$2+1)</f>
        <v/>
      </c>
      <c r="B18" s="9">
        <f>B17+1</f>
        <v/>
      </c>
      <c r="C18" s="10" t="n"/>
      <c r="D18" s="10" t="n"/>
      <c r="E18" s="10" t="n"/>
      <c r="F18" s="10" t="n"/>
      <c r="G18" s="10" t="n"/>
      <c r="H18" s="10" t="n"/>
      <c r="I18" s="10" t="n"/>
      <c r="J18" s="8" t="n"/>
      <c r="K18" s="12" t="n"/>
      <c r="L18" s="12" t="n"/>
      <c r="M18" s="12" t="n"/>
    </row>
    <row r="19" ht="18" customHeight="1">
      <c r="A19" s="8">
        <f>IF(B19="","",B19-$A$2+1)</f>
        <v/>
      </c>
      <c r="B19" s="9">
        <f>B18+1</f>
        <v/>
      </c>
      <c r="C19" s="10" t="n"/>
      <c r="D19" s="10" t="n"/>
      <c r="E19" s="10" t="n"/>
      <c r="F19" s="10" t="n"/>
      <c r="G19" s="10" t="n"/>
      <c r="H19" s="10" t="n"/>
      <c r="I19" s="10" t="n"/>
      <c r="J19" s="8" t="n"/>
      <c r="K19" s="12" t="n"/>
      <c r="L19" s="12" t="n"/>
      <c r="M19" s="12" t="n"/>
    </row>
    <row r="20" ht="18" customHeight="1">
      <c r="A20" s="8">
        <f>IF(B20="","",B20-$A$2+1)</f>
        <v/>
      </c>
      <c r="B20" s="9">
        <f>B19+1</f>
        <v/>
      </c>
      <c r="C20" s="10" t="n"/>
      <c r="D20" s="10" t="n"/>
      <c r="E20" s="10" t="n"/>
      <c r="F20" s="10" t="n"/>
      <c r="G20" s="10" t="n"/>
      <c r="H20" s="10" t="n"/>
      <c r="I20" s="10" t="n"/>
      <c r="J20" s="8" t="n"/>
      <c r="K20" s="12" t="n"/>
      <c r="L20" s="12" t="n"/>
      <c r="M20" s="12" t="n"/>
    </row>
    <row r="21" ht="18" customHeight="1">
      <c r="A21" s="8">
        <f>IF(B21="","",B21-$A$2+1)</f>
        <v/>
      </c>
      <c r="B21" s="9">
        <f>B20+1</f>
        <v/>
      </c>
      <c r="C21" s="10" t="n"/>
      <c r="D21" s="10" t="n"/>
      <c r="E21" s="10" t="n"/>
      <c r="F21" s="10" t="n"/>
      <c r="G21" s="10" t="n"/>
      <c r="H21" s="10" t="n"/>
      <c r="I21" s="10" t="n"/>
      <c r="J21" s="8" t="n"/>
      <c r="K21" s="12" t="n"/>
      <c r="L21" s="12" t="n"/>
      <c r="M21" s="12" t="n"/>
    </row>
    <row r="22" ht="18" customHeight="1">
      <c r="A22" s="8">
        <f>IF(B22="","",B22-$A$2+1)</f>
        <v/>
      </c>
      <c r="B22" s="9">
        <f>B21+1</f>
        <v/>
      </c>
      <c r="C22" s="10" t="n"/>
      <c r="D22" s="10" t="n"/>
      <c r="E22" s="10" t="n"/>
      <c r="F22" s="10" t="n"/>
      <c r="G22" s="10" t="n"/>
      <c r="H22" s="10" t="n"/>
      <c r="I22" s="10" t="n"/>
      <c r="J22" s="8" t="n"/>
      <c r="K22" s="12" t="n"/>
      <c r="L22" s="12" t="n"/>
      <c r="M22" s="12" t="n"/>
    </row>
    <row r="23" ht="18" customHeight="1">
      <c r="A23" s="8">
        <f>IF(B23="","",B23-$A$2+1)</f>
        <v/>
      </c>
      <c r="B23" s="9">
        <f>B22+1</f>
        <v/>
      </c>
      <c r="C23" s="10" t="n"/>
      <c r="D23" s="10" t="n"/>
      <c r="E23" s="10" t="n"/>
      <c r="F23" s="10" t="n"/>
      <c r="G23" s="10" t="n"/>
      <c r="H23" s="10" t="n"/>
      <c r="I23" s="10" t="n"/>
      <c r="J23" s="8" t="n"/>
      <c r="K23" s="12" t="n"/>
      <c r="L23" s="12" t="n"/>
      <c r="M23" s="12" t="n"/>
    </row>
    <row r="24" ht="18" customHeight="1">
      <c r="A24" s="8">
        <f>IF(B24="","",B24-$A$2+1)</f>
        <v/>
      </c>
      <c r="B24" s="9">
        <f>B23+1</f>
        <v/>
      </c>
      <c r="C24" s="10" t="n"/>
      <c r="D24" s="10" t="n"/>
      <c r="E24" s="10" t="n"/>
      <c r="F24" s="10" t="n"/>
      <c r="G24" s="10" t="n"/>
      <c r="H24" s="10" t="n"/>
      <c r="I24" s="10" t="n"/>
      <c r="J24" s="8" t="n"/>
      <c r="K24" s="12" t="n"/>
      <c r="L24" s="12" t="n"/>
      <c r="M24" s="12" t="n"/>
    </row>
    <row r="25" ht="18" customHeight="1">
      <c r="A25" s="8">
        <f>IF(B25="","",B25-$A$2+1)</f>
        <v/>
      </c>
      <c r="B25" s="9">
        <f>B24+1</f>
        <v/>
      </c>
      <c r="C25" s="10" t="n"/>
      <c r="D25" s="10" t="n"/>
      <c r="E25" s="10" t="n"/>
      <c r="F25" s="10" t="n"/>
      <c r="G25" s="10" t="n"/>
      <c r="H25" s="10" t="n"/>
      <c r="I25" s="10" t="n"/>
      <c r="J25" s="8" t="n"/>
      <c r="K25" s="12" t="n"/>
      <c r="L25" s="12" t="n"/>
      <c r="M25" s="12" t="n"/>
    </row>
    <row r="26" ht="18" customHeight="1">
      <c r="A26" s="8">
        <f>IF(B26="","",B26-$A$2+1)</f>
        <v/>
      </c>
      <c r="B26" s="9">
        <f>B25+1</f>
        <v/>
      </c>
      <c r="C26" s="10" t="n"/>
      <c r="D26" s="10" t="n"/>
      <c r="E26" s="10" t="n"/>
      <c r="F26" s="10" t="n"/>
      <c r="G26" s="10" t="n"/>
      <c r="H26" s="10" t="n"/>
      <c r="I26" s="10" t="n"/>
      <c r="J26" s="8" t="n"/>
      <c r="K26" s="12" t="n"/>
      <c r="L26" s="12" t="n"/>
      <c r="M26" s="12" t="n"/>
    </row>
    <row r="27" ht="18" customHeight="1">
      <c r="A27" s="8">
        <f>IF(B27="","",B27-$A$2+1)</f>
        <v/>
      </c>
      <c r="B27" s="9">
        <f>B26+1</f>
        <v/>
      </c>
      <c r="C27" s="10" t="n"/>
      <c r="D27" s="10" t="n"/>
      <c r="E27" s="10" t="n"/>
      <c r="F27" s="10" t="n"/>
      <c r="G27" s="10" t="n"/>
      <c r="H27" s="10" t="n"/>
      <c r="I27" s="10" t="n"/>
      <c r="J27" s="8" t="n"/>
      <c r="K27" s="12" t="n"/>
      <c r="L27" s="12" t="n"/>
      <c r="M27" s="12" t="n"/>
    </row>
    <row r="28" ht="18" customHeight="1">
      <c r="A28" s="8">
        <f>IF(B28="","",B28-$A$2+1)</f>
        <v/>
      </c>
      <c r="B28" s="9">
        <f>B27+1</f>
        <v/>
      </c>
      <c r="C28" s="10" t="n"/>
      <c r="D28" s="10" t="n"/>
      <c r="E28" s="10" t="n"/>
      <c r="F28" s="10" t="n"/>
      <c r="G28" s="10" t="n"/>
      <c r="H28" s="10" t="n"/>
      <c r="I28" s="10" t="n"/>
      <c r="J28" s="8" t="n"/>
      <c r="K28" s="12" t="n"/>
      <c r="L28" s="12" t="n"/>
      <c r="M28" s="12" t="n"/>
    </row>
    <row r="29" ht="18" customHeight="1">
      <c r="A29" s="8">
        <f>IF(B29="","",B29-$A$2+1)</f>
        <v/>
      </c>
      <c r="B29" s="9">
        <f>B28+1</f>
        <v/>
      </c>
      <c r="C29" s="10" t="n"/>
      <c r="D29" s="10" t="n"/>
      <c r="E29" s="10" t="n"/>
      <c r="F29" s="10" t="n"/>
      <c r="G29" s="10" t="n"/>
      <c r="H29" s="10" t="n"/>
      <c r="I29" s="10" t="n"/>
      <c r="J29" s="8" t="n"/>
      <c r="K29" s="12" t="n"/>
      <c r="L29" s="12" t="n"/>
      <c r="M29" s="12" t="n"/>
    </row>
    <row r="30" ht="18" customHeight="1">
      <c r="A30" s="8">
        <f>IF(B30="","",B30-$A$2+1)</f>
        <v/>
      </c>
      <c r="B30" s="9">
        <f>B29+1</f>
        <v/>
      </c>
      <c r="C30" s="10" t="n"/>
      <c r="D30" s="10" t="n"/>
      <c r="E30" s="10" t="n"/>
      <c r="F30" s="10" t="n"/>
      <c r="G30" s="10" t="n"/>
      <c r="H30" s="10" t="n"/>
      <c r="I30" s="10" t="n"/>
      <c r="J30" s="8" t="n"/>
      <c r="K30" s="12" t="n"/>
      <c r="L30" s="12" t="n"/>
      <c r="M30" s="12" t="n"/>
    </row>
    <row r="31" ht="18" customHeight="1">
      <c r="A31" s="8">
        <f>IF(B31="","",B31-$A$2+1)</f>
        <v/>
      </c>
      <c r="B31" s="9">
        <f>B30+1</f>
        <v/>
      </c>
      <c r="C31" s="10" t="n"/>
      <c r="D31" s="10" t="n"/>
      <c r="E31" s="10" t="n"/>
      <c r="F31" s="10" t="n"/>
      <c r="G31" s="10" t="n"/>
      <c r="H31" s="10" t="n"/>
      <c r="I31" s="10" t="n"/>
      <c r="J31" s="8" t="n"/>
      <c r="K31" s="12" t="n"/>
      <c r="L31" s="12" t="n"/>
      <c r="M31" s="12" t="n"/>
    </row>
    <row r="32" ht="18" customHeight="1">
      <c r="A32" s="8">
        <f>IF(B32="","",B32-$A$2+1)</f>
        <v/>
      </c>
      <c r="B32" s="9">
        <f>B31+1</f>
        <v/>
      </c>
      <c r="C32" s="10" t="n"/>
      <c r="D32" s="10" t="n"/>
      <c r="E32" s="10" t="n"/>
      <c r="F32" s="10" t="n"/>
      <c r="G32" s="10" t="n"/>
      <c r="H32" s="10" t="n"/>
      <c r="I32" s="10" t="n"/>
      <c r="J32" s="8" t="n"/>
      <c r="K32" s="12" t="n"/>
      <c r="L32" s="12" t="n"/>
      <c r="M32" s="12" t="n"/>
    </row>
    <row r="33" ht="18" customHeight="1">
      <c r="A33" s="8">
        <f>IF(B33="","",B33-$A$2+1)</f>
        <v/>
      </c>
      <c r="B33" s="9">
        <f>B32+1</f>
        <v/>
      </c>
      <c r="C33" s="10" t="n"/>
      <c r="D33" s="10" t="n"/>
      <c r="E33" s="10" t="n"/>
      <c r="F33" s="10" t="n"/>
      <c r="G33" s="10" t="n"/>
      <c r="H33" s="10" t="n"/>
      <c r="I33" s="10" t="n"/>
      <c r="J33" s="8" t="n"/>
      <c r="K33" s="12" t="n"/>
      <c r="L33" s="12" t="n"/>
      <c r="M33" s="12" t="n"/>
    </row>
    <row r="34" ht="18" customHeight="1">
      <c r="A34" s="8">
        <f>IF(B34="","",B34-$A$2+1)</f>
        <v/>
      </c>
      <c r="B34" s="9">
        <f>B33+1</f>
        <v/>
      </c>
      <c r="C34" s="10" t="n"/>
      <c r="D34" s="10" t="n"/>
      <c r="E34" s="10" t="n"/>
      <c r="F34" s="10" t="n"/>
      <c r="G34" s="10" t="n"/>
      <c r="H34" s="10" t="n"/>
      <c r="I34" s="10" t="n"/>
      <c r="J34" s="8" t="n"/>
      <c r="K34" s="12" t="n"/>
      <c r="L34" s="12" t="n"/>
      <c r="M34" s="12" t="n"/>
    </row>
    <row r="35" ht="18" customHeight="1">
      <c r="A35" s="8">
        <f>IF(B35="","",B35-$A$2+1)</f>
        <v/>
      </c>
      <c r="B35" s="9">
        <f>B34+1</f>
        <v/>
      </c>
      <c r="C35" s="10" t="n"/>
      <c r="D35" s="10" t="n"/>
      <c r="E35" s="10" t="n"/>
      <c r="F35" s="10" t="n"/>
      <c r="G35" s="10" t="n"/>
      <c r="H35" s="10" t="n"/>
      <c r="I35" s="10" t="n"/>
      <c r="J35" s="8" t="n"/>
      <c r="K35" s="12" t="n"/>
      <c r="L35" s="12" t="n"/>
      <c r="M35" s="12" t="n"/>
    </row>
    <row r="36" ht="18" customHeight="1">
      <c r="A36" s="8">
        <f>IF(B36="","",B36-$A$2+1)</f>
        <v/>
      </c>
      <c r="B36" s="9">
        <f>B35+1</f>
        <v/>
      </c>
      <c r="C36" s="10" t="n"/>
      <c r="D36" s="10" t="n"/>
      <c r="E36" s="10" t="n"/>
      <c r="F36" s="10" t="n"/>
      <c r="G36" s="10" t="n"/>
      <c r="H36" s="10" t="n"/>
      <c r="I36" s="10" t="n"/>
      <c r="J36" s="8" t="n"/>
      <c r="K36" s="12" t="n"/>
      <c r="L36" s="12" t="n"/>
      <c r="M36" s="12" t="n"/>
    </row>
    <row r="37" ht="18" customHeight="1">
      <c r="A37" s="8">
        <f>IF(B37="","",B37-$A$2+1)</f>
        <v/>
      </c>
      <c r="B37" s="9">
        <f>B36+1</f>
        <v/>
      </c>
      <c r="C37" s="10" t="n"/>
      <c r="D37" s="10" t="n"/>
      <c r="E37" s="10" t="n"/>
      <c r="F37" s="10" t="n"/>
      <c r="G37" s="10" t="n"/>
      <c r="H37" s="10" t="n"/>
      <c r="I37" s="10" t="n"/>
      <c r="J37" s="8" t="n"/>
      <c r="K37" s="12" t="n"/>
      <c r="L37" s="12" t="n"/>
      <c r="M37" s="12" t="n"/>
    </row>
    <row r="38" ht="18" customHeight="1">
      <c r="A38" s="8">
        <f>IF(B38="","",B38-$A$2+1)</f>
        <v/>
      </c>
      <c r="B38" s="9">
        <f>B37+1</f>
        <v/>
      </c>
      <c r="C38" s="10" t="n"/>
      <c r="D38" s="10" t="n"/>
      <c r="E38" s="10" t="n"/>
      <c r="F38" s="10" t="n"/>
      <c r="G38" s="10" t="n"/>
      <c r="H38" s="10" t="n"/>
      <c r="I38" s="10" t="n"/>
      <c r="J38" s="8" t="n"/>
      <c r="K38" s="12" t="n"/>
      <c r="L38" s="12" t="n"/>
      <c r="M38" s="12" t="n"/>
    </row>
    <row r="39" ht="18" customHeight="1">
      <c r="A39" s="8">
        <f>IF(B39="","",B39-$A$2+1)</f>
        <v/>
      </c>
      <c r="B39" s="9">
        <f>B38+1</f>
        <v/>
      </c>
      <c r="C39" s="10" t="n"/>
      <c r="D39" s="10" t="n"/>
      <c r="E39" s="10" t="n"/>
      <c r="F39" s="10" t="n"/>
      <c r="G39" s="10" t="n"/>
      <c r="H39" s="10" t="n"/>
      <c r="I39" s="10" t="n"/>
      <c r="J39" s="8" t="n"/>
      <c r="K39" s="12" t="n"/>
      <c r="L39" s="12" t="n"/>
      <c r="M39" s="12" t="n"/>
    </row>
    <row r="40" ht="18" customHeight="1">
      <c r="A40" s="8">
        <f>IF(B40="","",B40-$A$2+1)</f>
        <v/>
      </c>
      <c r="B40" s="9">
        <f>B39+1</f>
        <v/>
      </c>
      <c r="C40" s="10" t="n"/>
      <c r="D40" s="10" t="n"/>
      <c r="E40" s="10" t="n"/>
      <c r="F40" s="10" t="n"/>
      <c r="G40" s="10" t="n"/>
      <c r="H40" s="10" t="n"/>
      <c r="I40" s="10" t="n"/>
      <c r="J40" s="8" t="n"/>
      <c r="K40" s="12" t="n"/>
      <c r="L40" s="12" t="n"/>
      <c r="M40" s="12" t="n"/>
    </row>
    <row r="41" ht="18" customHeight="1">
      <c r="A41" s="8">
        <f>IF(B41="","",B41-$A$2+1)</f>
        <v/>
      </c>
      <c r="B41" s="9">
        <f>B40+1</f>
        <v/>
      </c>
      <c r="C41" s="10" t="n"/>
      <c r="D41" s="10" t="n"/>
      <c r="E41" s="10" t="n"/>
      <c r="F41" s="10" t="n"/>
      <c r="G41" s="10" t="n"/>
      <c r="H41" s="10" t="n"/>
      <c r="I41" s="10" t="n"/>
      <c r="J41" s="8" t="n"/>
      <c r="K41" s="12" t="n"/>
      <c r="L41" s="12" t="n"/>
      <c r="M41" s="12" t="n"/>
    </row>
    <row r="42" ht="18" customHeight="1">
      <c r="A42" s="8">
        <f>IF(B42="","",B42-$A$2+1)</f>
        <v/>
      </c>
      <c r="B42" s="9">
        <f>B41+1</f>
        <v/>
      </c>
      <c r="C42" s="10" t="n"/>
      <c r="D42" s="10" t="n"/>
      <c r="E42" s="10" t="n"/>
      <c r="F42" s="10" t="n"/>
      <c r="G42" s="10" t="n"/>
      <c r="H42" s="10" t="n"/>
      <c r="I42" s="10" t="n"/>
      <c r="J42" s="8" t="n"/>
      <c r="K42" s="12" t="n"/>
      <c r="L42" s="12" t="n"/>
      <c r="M42" s="12" t="n"/>
    </row>
    <row r="43" ht="18" customHeight="1">
      <c r="A43" s="8">
        <f>IF(B43="","",B43-$A$2+1)</f>
        <v/>
      </c>
      <c r="B43" s="9">
        <f>B42+1</f>
        <v/>
      </c>
      <c r="C43" s="10" t="n"/>
      <c r="D43" s="10" t="n"/>
      <c r="E43" s="10" t="n"/>
      <c r="F43" s="10" t="n"/>
      <c r="G43" s="10" t="n"/>
      <c r="H43" s="10" t="n"/>
      <c r="I43" s="10" t="n"/>
      <c r="J43" s="8" t="n"/>
      <c r="K43" s="12" t="n"/>
      <c r="L43" s="12" t="n"/>
      <c r="M43" s="12" t="n"/>
    </row>
    <row r="44" ht="18" customHeight="1">
      <c r="A44" s="8">
        <f>IF(B44="","",B44-$A$2+1)</f>
        <v/>
      </c>
      <c r="B44" s="9">
        <f>B43+1</f>
        <v/>
      </c>
      <c r="C44" s="10" t="n"/>
      <c r="D44" s="10" t="n"/>
      <c r="E44" s="10" t="n"/>
      <c r="F44" s="10" t="n"/>
      <c r="G44" s="10" t="n"/>
      <c r="H44" s="10" t="n"/>
      <c r="I44" s="10" t="n"/>
      <c r="J44" s="8" t="n"/>
      <c r="K44" s="12" t="n"/>
      <c r="L44" s="12" t="n"/>
      <c r="M44" s="12" t="n"/>
    </row>
    <row r="45" ht="18" customHeight="1">
      <c r="A45" s="8">
        <f>IF(B45="","",B45-$A$2+1)</f>
        <v/>
      </c>
      <c r="B45" s="9">
        <f>B44+1</f>
        <v/>
      </c>
      <c r="C45" s="10" t="n"/>
      <c r="D45" s="10" t="n"/>
      <c r="E45" s="10" t="n"/>
      <c r="F45" s="10" t="n"/>
      <c r="G45" s="10" t="n"/>
      <c r="H45" s="10" t="n"/>
      <c r="I45" s="10" t="n"/>
      <c r="J45" s="8" t="n"/>
      <c r="K45" s="12" t="n"/>
      <c r="L45" s="12" t="n"/>
      <c r="M45" s="12" t="n"/>
    </row>
    <row r="46" ht="18" customHeight="1">
      <c r="A46" s="8">
        <f>IF(B46="","",B46-$A$2+1)</f>
        <v/>
      </c>
      <c r="B46" s="9">
        <f>B45+1</f>
        <v/>
      </c>
      <c r="C46" s="10" t="n"/>
      <c r="D46" s="10" t="n"/>
      <c r="E46" s="10" t="n"/>
      <c r="F46" s="10" t="n"/>
      <c r="G46" s="10" t="n"/>
      <c r="H46" s="10" t="n"/>
      <c r="I46" s="10" t="n"/>
      <c r="J46" s="8" t="n"/>
      <c r="K46" s="12" t="n"/>
      <c r="L46" s="12" t="n"/>
      <c r="M46" s="12" t="n"/>
    </row>
    <row r="47" ht="18" customHeight="1">
      <c r="A47" s="8">
        <f>IF(B47="","",B47-$A$2+1)</f>
        <v/>
      </c>
      <c r="B47" s="9">
        <f>B46+1</f>
        <v/>
      </c>
      <c r="C47" s="10" t="n"/>
      <c r="D47" s="10" t="n"/>
      <c r="E47" s="10" t="n"/>
      <c r="F47" s="10" t="n"/>
      <c r="G47" s="10" t="n"/>
      <c r="H47" s="10" t="n"/>
      <c r="I47" s="10" t="n"/>
      <c r="J47" s="8" t="n"/>
      <c r="K47" s="12" t="n"/>
      <c r="L47" s="12" t="n"/>
      <c r="M47" s="12" t="n"/>
    </row>
    <row r="48" ht="18" customHeight="1">
      <c r="A48" s="8">
        <f>IF(B48="","",B48-$A$2+1)</f>
        <v/>
      </c>
      <c r="B48" s="9">
        <f>B47+1</f>
        <v/>
      </c>
      <c r="C48" s="10" t="n"/>
      <c r="D48" s="10" t="n"/>
      <c r="E48" s="10" t="n"/>
      <c r="F48" s="10" t="n"/>
      <c r="G48" s="10" t="n"/>
      <c r="H48" s="10" t="n"/>
      <c r="I48" s="10" t="n"/>
      <c r="J48" s="8" t="n"/>
      <c r="K48" s="12" t="n"/>
      <c r="L48" s="12" t="n"/>
      <c r="M48" s="12" t="n"/>
    </row>
    <row r="49" ht="18" customHeight="1">
      <c r="A49" s="8">
        <f>IF(B49="","",B49-$A$2+1)</f>
        <v/>
      </c>
      <c r="B49" s="9">
        <f>B48+1</f>
        <v/>
      </c>
      <c r="C49" s="10" t="n"/>
      <c r="D49" s="10" t="n"/>
      <c r="E49" s="10" t="n"/>
      <c r="F49" s="10" t="n"/>
      <c r="G49" s="10" t="n"/>
      <c r="H49" s="10" t="n"/>
      <c r="I49" s="10" t="n"/>
      <c r="J49" s="8" t="n"/>
      <c r="K49" s="12" t="n"/>
      <c r="L49" s="12" t="n"/>
      <c r="M49" s="12" t="n"/>
    </row>
    <row r="50" ht="18" customHeight="1">
      <c r="A50" s="8">
        <f>IF(B50="","",B50-$A$2+1)</f>
        <v/>
      </c>
      <c r="B50" s="9">
        <f>B49+1</f>
        <v/>
      </c>
      <c r="C50" s="10" t="n"/>
      <c r="D50" s="10" t="n"/>
      <c r="E50" s="10" t="n"/>
      <c r="F50" s="10" t="n"/>
      <c r="G50" s="10" t="n"/>
      <c r="H50" s="10" t="n"/>
      <c r="I50" s="10" t="n"/>
      <c r="J50" s="8" t="n"/>
      <c r="K50" s="12" t="n"/>
      <c r="L50" s="12" t="n"/>
      <c r="M50" s="12" t="n"/>
    </row>
    <row r="51" ht="18" customHeight="1">
      <c r="A51" s="8">
        <f>IF(B51="","",B51-$A$2+1)</f>
        <v/>
      </c>
      <c r="B51" s="9">
        <f>B50+1</f>
        <v/>
      </c>
      <c r="C51" s="10" t="n"/>
      <c r="D51" s="10" t="n"/>
      <c r="E51" s="10" t="n"/>
      <c r="F51" s="10" t="n"/>
      <c r="G51" s="10" t="n"/>
      <c r="H51" s="10" t="n"/>
      <c r="I51" s="10" t="n"/>
      <c r="J51" s="8" t="n"/>
      <c r="K51" s="12" t="n"/>
      <c r="L51" s="12" t="n"/>
      <c r="M51" s="12" t="n"/>
    </row>
    <row r="52" ht="18" customHeight="1">
      <c r="A52" s="8">
        <f>IF(B52="","",B52-$A$2+1)</f>
        <v/>
      </c>
      <c r="B52" s="9">
        <f>B51+1</f>
        <v/>
      </c>
      <c r="C52" s="10" t="n"/>
      <c r="D52" s="10" t="n"/>
      <c r="E52" s="10" t="n"/>
      <c r="F52" s="10" t="n"/>
      <c r="G52" s="10" t="n"/>
      <c r="H52" s="10" t="n"/>
      <c r="I52" s="10" t="n"/>
      <c r="J52" s="8" t="n"/>
      <c r="K52" s="12" t="n"/>
      <c r="L52" s="12" t="n"/>
      <c r="M52" s="12" t="n"/>
    </row>
    <row r="53" ht="18" customHeight="1">
      <c r="A53" s="8">
        <f>IF(B53="","",B53-$A$2+1)</f>
        <v/>
      </c>
      <c r="B53" s="9">
        <f>B52+1</f>
        <v/>
      </c>
      <c r="C53" s="10" t="n"/>
      <c r="D53" s="10" t="n"/>
      <c r="E53" s="10" t="n"/>
      <c r="F53" s="10" t="n"/>
      <c r="G53" s="10" t="n"/>
      <c r="H53" s="10" t="n"/>
      <c r="I53" s="10" t="n"/>
      <c r="J53" s="8" t="n"/>
      <c r="K53" s="12" t="n"/>
      <c r="L53" s="12" t="n"/>
      <c r="M53" s="12" t="n"/>
    </row>
    <row r="54" ht="18" customHeight="1">
      <c r="A54" s="8">
        <f>IF(B54="","",B54-$A$2+1)</f>
        <v/>
      </c>
      <c r="B54" s="9">
        <f>B53+1</f>
        <v/>
      </c>
      <c r="C54" s="10" t="n"/>
      <c r="D54" s="10" t="n"/>
      <c r="E54" s="10" t="n"/>
      <c r="F54" s="10" t="n"/>
      <c r="G54" s="10" t="n"/>
      <c r="H54" s="10" t="n"/>
      <c r="I54" s="10" t="n"/>
      <c r="J54" s="8" t="n"/>
      <c r="K54" s="12" t="n"/>
      <c r="L54" s="12" t="n"/>
      <c r="M54" s="12" t="n"/>
    </row>
    <row r="55" ht="18" customHeight="1">
      <c r="A55" s="8">
        <f>IF(B55="","",B55-$A$2+1)</f>
        <v/>
      </c>
      <c r="B55" s="9">
        <f>B54+1</f>
        <v/>
      </c>
      <c r="C55" s="10" t="n"/>
      <c r="D55" s="10" t="n"/>
      <c r="E55" s="10" t="n"/>
      <c r="F55" s="10" t="n"/>
      <c r="G55" s="10" t="n"/>
      <c r="H55" s="10" t="n"/>
      <c r="I55" s="10" t="n"/>
      <c r="J55" s="8" t="n"/>
      <c r="K55" s="12" t="n"/>
      <c r="L55" s="12" t="n"/>
      <c r="M55" s="12" t="n"/>
    </row>
    <row r="56" ht="18" customHeight="1">
      <c r="A56" s="8">
        <f>IF(B56="","",B56-$A$2+1)</f>
        <v/>
      </c>
      <c r="B56" s="9">
        <f>B55+1</f>
        <v/>
      </c>
      <c r="C56" s="10" t="n"/>
      <c r="D56" s="10" t="n"/>
      <c r="E56" s="10" t="n"/>
      <c r="F56" s="10" t="n"/>
      <c r="G56" s="10" t="n"/>
      <c r="H56" s="10" t="n"/>
      <c r="I56" s="10" t="n"/>
      <c r="J56" s="8" t="n"/>
      <c r="K56" s="12" t="n"/>
      <c r="L56" s="12" t="n"/>
      <c r="M56" s="12" t="n"/>
    </row>
    <row r="57" ht="18" customHeight="1">
      <c r="A57" s="8">
        <f>IF(B57="","",B57-$A$2+1)</f>
        <v/>
      </c>
      <c r="B57" s="9">
        <f>B56+1</f>
        <v/>
      </c>
      <c r="C57" s="10" t="n"/>
      <c r="D57" s="10" t="n"/>
      <c r="E57" s="10" t="n"/>
      <c r="F57" s="10" t="n"/>
      <c r="G57" s="10" t="n"/>
      <c r="H57" s="10" t="n"/>
      <c r="I57" s="10" t="n"/>
      <c r="J57" s="8" t="n"/>
      <c r="K57" s="12" t="n"/>
      <c r="L57" s="12" t="n"/>
      <c r="M57" s="12" t="n"/>
    </row>
    <row r="58" ht="18" customHeight="1">
      <c r="A58" s="8">
        <f>IF(B58="","",B58-$A$2+1)</f>
        <v/>
      </c>
      <c r="B58" s="9">
        <f>B57+1</f>
        <v/>
      </c>
      <c r="C58" s="10" t="n"/>
      <c r="D58" s="10" t="n"/>
      <c r="E58" s="10" t="n"/>
      <c r="F58" s="10" t="n"/>
      <c r="G58" s="10" t="n"/>
      <c r="H58" s="10" t="n"/>
      <c r="I58" s="10" t="n"/>
      <c r="J58" s="8" t="n"/>
      <c r="K58" s="12" t="n"/>
      <c r="L58" s="12" t="n"/>
      <c r="M58" s="12" t="n"/>
    </row>
    <row r="59" ht="18" customHeight="1">
      <c r="A59" s="8">
        <f>IF(B59="","",B59-$A$2+1)</f>
        <v/>
      </c>
      <c r="B59" s="9">
        <f>B58+1</f>
        <v/>
      </c>
      <c r="C59" s="10" t="n"/>
      <c r="D59" s="10" t="n"/>
      <c r="E59" s="10" t="n"/>
      <c r="F59" s="10" t="n"/>
      <c r="G59" s="10" t="n"/>
      <c r="H59" s="10" t="n"/>
      <c r="I59" s="10" t="n"/>
      <c r="J59" s="8" t="n"/>
      <c r="K59" s="12" t="n"/>
      <c r="L59" s="12" t="n"/>
      <c r="M59" s="12" t="n"/>
    </row>
    <row r="60" ht="18" customHeight="1">
      <c r="A60" s="8">
        <f>IF(B60="","",B60-$A$2+1)</f>
        <v/>
      </c>
      <c r="B60" s="9">
        <f>B59+1</f>
        <v/>
      </c>
      <c r="C60" s="10" t="n"/>
      <c r="D60" s="10" t="n"/>
      <c r="E60" s="10" t="n"/>
      <c r="F60" s="10" t="n"/>
      <c r="G60" s="10" t="n"/>
      <c r="H60" s="10" t="n"/>
      <c r="I60" s="10" t="n"/>
      <c r="J60" s="8" t="n"/>
      <c r="K60" s="12" t="n"/>
      <c r="L60" s="12" t="n"/>
      <c r="M60" s="12" t="n"/>
    </row>
    <row r="61" ht="18" customHeight="1">
      <c r="A61" s="8">
        <f>IF(B61="","",B61-$A$2+1)</f>
        <v/>
      </c>
      <c r="B61" s="9">
        <f>B60+1</f>
        <v/>
      </c>
      <c r="C61" s="10" t="n"/>
      <c r="D61" s="10" t="n"/>
      <c r="E61" s="10" t="n"/>
      <c r="F61" s="10" t="n"/>
      <c r="G61" s="10" t="n"/>
      <c r="H61" s="10" t="n"/>
      <c r="I61" s="10" t="n"/>
      <c r="J61" s="8" t="n"/>
      <c r="K61" s="12" t="n"/>
      <c r="L61" s="12" t="n"/>
      <c r="M61" s="12" t="n"/>
    </row>
    <row r="62" ht="18" customHeight="1">
      <c r="A62" s="8">
        <f>IF(B62="","",B62-$A$2+1)</f>
        <v/>
      </c>
      <c r="B62" s="9">
        <f>B61+1</f>
        <v/>
      </c>
      <c r="C62" s="10" t="n"/>
      <c r="D62" s="10" t="n"/>
      <c r="E62" s="10" t="n"/>
      <c r="F62" s="10" t="n"/>
      <c r="G62" s="10" t="n"/>
      <c r="H62" s="10" t="n"/>
      <c r="I62" s="10" t="n"/>
      <c r="J62" s="8" t="n"/>
      <c r="K62" s="12" t="n"/>
      <c r="L62" s="12" t="n"/>
      <c r="M62" s="12" t="n"/>
    </row>
    <row r="63" ht="18" customHeight="1">
      <c r="A63" s="8">
        <f>IF(B63="","",B63-$A$2+1)</f>
        <v/>
      </c>
      <c r="B63" s="9">
        <f>B62+1</f>
        <v/>
      </c>
      <c r="C63" s="10" t="n"/>
      <c r="D63" s="10" t="n"/>
      <c r="E63" s="10" t="n"/>
      <c r="F63" s="10" t="n"/>
      <c r="G63" s="10" t="n"/>
      <c r="H63" s="10" t="n"/>
      <c r="I63" s="10" t="n"/>
      <c r="J63" s="8" t="n"/>
      <c r="K63" s="12" t="n"/>
      <c r="L63" s="12" t="n"/>
      <c r="M63" s="12" t="n"/>
    </row>
    <row r="64" ht="18" customHeight="1">
      <c r="A64" s="8">
        <f>IF(B64="","",B64-$A$2+1)</f>
        <v/>
      </c>
      <c r="B64" s="9">
        <f>B63+1</f>
        <v/>
      </c>
      <c r="C64" s="10" t="n"/>
      <c r="D64" s="10" t="n"/>
      <c r="E64" s="10" t="n"/>
      <c r="F64" s="10" t="n"/>
      <c r="G64" s="10" t="n"/>
      <c r="H64" s="10" t="n"/>
      <c r="I64" s="10" t="n"/>
      <c r="J64" s="8" t="n"/>
      <c r="K64" s="12" t="n"/>
      <c r="L64" s="12" t="n"/>
      <c r="M64" s="12" t="n"/>
    </row>
    <row r="65" ht="9" customHeight="1"/>
    <row r="66" ht="21" customHeight="1">
      <c r="A66" s="13" t="inlineStr">
        <is>
          <t>LIVE SPRINT STATUS</t>
        </is>
      </c>
    </row>
    <row r="67" ht="15" customHeight="1">
      <c r="A67" s="6" t="inlineStr">
        <is>
          <t>Accounts Contacted</t>
        </is>
      </c>
      <c r="B67" s="3" t="n"/>
      <c r="C67" s="14">
        <f>COUNTIF(CRM!K2:K1000,"&lt;&gt;")</f>
        <v/>
      </c>
    </row>
    <row r="68" ht="15" customHeight="1">
      <c r="A68" s="6" t="inlineStr">
        <is>
          <t>Discovery Calls Booked</t>
        </is>
      </c>
      <c r="B68" s="3" t="n"/>
      <c r="C68" s="14">
        <f>COUNTIF(CRM!R2:R1000,"Stage 2")+COUNTIF(CRM!R2:R1000,"Stage 3")+COUNTIF(CRM!R2:R1000,"Stage 4")+COUNTIF(CRM!R2:R1000,"Stage 5")+COUNTIF(CRM!R2:R1000,"Stage 6")</f>
        <v/>
      </c>
    </row>
    <row r="69" ht="15" customHeight="1">
      <c r="A69" s="6" t="inlineStr">
        <is>
          <t>Discovery Calls Completed</t>
        </is>
      </c>
      <c r="B69" s="3" t="n"/>
      <c r="C69" s="14">
        <f>COUNTIF(CRM!S2:S1000,"&lt;&gt;")</f>
        <v/>
      </c>
    </row>
    <row r="70" ht="15" customHeight="1">
      <c r="A70" s="6" t="inlineStr">
        <is>
          <t>Brands in Pipeline (Stage 2+)</t>
        </is>
      </c>
      <c r="B70" s="3" t="n"/>
      <c r="C70" s="14">
        <f>COUNTIF(Pipeline!E15:E1000,"Stage 2")+COUNTIF(Pipeline!E15:E1000,"Stage 3")+COUNTIF(Pipeline!E15:E1000,"Stage 4")+COUNTIF(Pipeline!E15:E1000,"Stage 5")+COUNTIF(Pipeline!E15:E1000,"Stage 6")</f>
        <v/>
      </c>
    </row>
    <row r="71" ht="15" customHeight="1">
      <c r="A71" s="6" t="inlineStr">
        <is>
          <t>LOIs Issued</t>
        </is>
      </c>
      <c r="B71" s="3" t="n"/>
      <c r="C71" s="14">
        <f>COUNTA(LOI!A5:A1000)</f>
        <v/>
      </c>
    </row>
    <row r="72" ht="15" customHeight="1">
      <c r="A72" s="6" t="inlineStr">
        <is>
          <t>LOIs Signed</t>
        </is>
      </c>
      <c r="B72" s="3" t="n"/>
      <c r="C72" s="14">
        <f>COUNTIF(LOI!I5:I1000,"✅ Signed")</f>
        <v/>
      </c>
    </row>
    <row r="73" ht="15" customHeight="1">
      <c r="A73" s="6" t="inlineStr">
        <is>
          <t>Pilots Signed</t>
        </is>
      </c>
      <c r="B73" s="3" t="n"/>
      <c r="C73" s="14">
        <f>COUNTIF(LOI!K5:K1000,"✅ Signed")</f>
        <v/>
      </c>
    </row>
    <row r="74" ht="15" customHeight="1">
      <c r="A74" s="6" t="inlineStr">
        <is>
          <t>Kill Criterion Status</t>
        </is>
      </c>
      <c r="B74" s="3" t="n"/>
      <c r="C74" s="14">
        <f>IF(COUNTIF(Pipeline!E15:E1000,"Stage 2")+COUNTIF(Pipeline!E15:E1000,"Stage 3")+COUNTIF(Pipeline!E15:E1000,"Stage 4")+COUNTIF(Pipeline!E15:E1000,"Stage 5")+COUNTIF(Pipeline!E15:E1000,"Stage 6")&gt;=5,"✅ Met",IF(COUNTIF(Pipeline!E15:E1000,"Stage 2")+COUNTIF(Pipeline!E15:E1000,"Stage 3")+COUNTIF(Pipeline!E15:E1000,"Stage 4")+COUNTIF(Pipeline!E15:E1000,"Stage 5")+COUNTIF(Pipeline!E15:E1000,"Stage 6")&gt;=3,"⚠️ Approaching","❌ Not Met"))</f>
        <v/>
      </c>
    </row>
    <row r="75" ht="15" customHeight="1">
      <c r="A75" s="6" t="inlineStr">
        <is>
          <t>Today's Date</t>
        </is>
      </c>
      <c r="B75" s="3" t="n"/>
      <c r="C75" s="15">
        <f>TODAY()</f>
        <v/>
      </c>
    </row>
    <row r="76" ht="15" customHeight="1">
      <c r="A76" s="6" t="inlineStr">
        <is>
          <t>Sprint Day</t>
        </is>
      </c>
      <c r="B76" s="3" t="n"/>
      <c r="C76" s="14">
        <f>TODAY()-$A$2+1</f>
        <v/>
      </c>
    </row>
    <row r="77" ht="15" customHeight="1">
      <c r="A77" s="6" t="inlineStr">
        <is>
          <t>Days Remaining</t>
        </is>
      </c>
      <c r="B77" s="3" t="n"/>
      <c r="C77" s="14">
        <f>$C$2-TODAY()</f>
        <v/>
      </c>
    </row>
  </sheetData>
  <mergeCells count="4">
    <mergeCell ref="J2:M2"/>
    <mergeCell ref="E2:G2"/>
    <mergeCell ref="A66:C66"/>
    <mergeCell ref="A1:M1"/>
  </mergeCells>
  <conditionalFormatting sqref="A5:M64">
    <cfRule type="expression" priority="1" dxfId="0">
      <formula>=$I5&gt;=3</formula>
    </cfRule>
    <cfRule type="expression" priority="2" dxfId="1">
      <formula>=AND($I5&gt;=1,$I5&lt;3)</formula>
    </cfRule>
    <cfRule type="expression" priority="3" dxfId="2">
      <formula>=AND($I5=0,$A5&gt;30)</formula>
    </cfRule>
    <cfRule type="expression" priority="7" dxfId="3">
      <formula>=$B5=TODAY()</formula>
    </cfRule>
  </conditionalFormatting>
  <conditionalFormatting sqref="J5:J64">
    <cfRule type="expression" priority="4" dxfId="0">
      <formula>=$J5="✅ Met"</formula>
    </cfRule>
    <cfRule type="expression" priority="5" dxfId="1">
      <formula>=$J5="⚠️ Approaching"</formula>
    </cfRule>
    <cfRule type="expression" priority="6" dxfId="2">
      <formula>=$J5="❌ Not Met"</formula>
    </cfRule>
  </conditionalFormatting>
  <conditionalFormatting sqref="F5:F64">
    <cfRule type="expression" priority="8" dxfId="0">
      <formula>=$F5&gt;=5</formula>
    </cfRule>
    <cfRule type="expression" priority="9" dxfId="1">
      <formula>=OR($F5=3,$F5=4)</formula>
    </cfRule>
    <cfRule type="expression" priority="10" dxfId="2">
      <formula>=AND($F5&lt;3,$A5&gt;=21)</formula>
    </cfRule>
  </conditionalFormatting>
  <conditionalFormatting sqref="H5:H64">
    <cfRule type="expression" priority="11" dxfId="4">
      <formula>=$H5&gt;=1</formula>
    </cfRule>
    <cfRule type="expression" priority="12" dxfId="5">
      <formula>=AND($H5=0,$A5&gt;=35)</formula>
    </cfRule>
  </conditionalFormatting>
  <dataValidations count="10">
    <dataValidation sqref="J5:J64" showDropDown="0" showInputMessage="0" showErrorMessage="1" allowBlank="1" errorTitle="Invalid Entry" error="Select from list: ❌ / ⚠️ / ✅" type="list">
      <formula1>"❌ Not Met,⚠️ Approaching,✅ Met"</formula1>
    </dataValidation>
    <dataValidation sqref="A5:A64" showDropDown="0" showInputMessage="0" showErrorMessage="1" allowBlank="1" errorTitle="Invalid Entry" error="Day # must be between 1 and 60" type="whole" operator="between">
      <formula1>1</formula1>
      <formula2>60</formula2>
    </dataValidation>
    <dataValidation sqref="C5:C64" showDropDown="0" showInputMessage="0" showErrorMessage="1" allowBlank="1" errorTitle="Invalid Entry" error="Must be a non-negative whole number" type="whole" operator="greaterThanOrEqual">
      <formula1>0</formula1>
    </dataValidation>
    <dataValidation sqref="D5:D64" showDropDown="0" showInputMessage="0" showErrorMessage="1" allowBlank="1" errorTitle="Invalid Entry" error="Must be a non-negative whole number" type="whole" operator="greaterThanOrEqual">
      <formula1>0</formula1>
    </dataValidation>
    <dataValidation sqref="F5:F64" showDropDown="0" showInputMessage="0" showErrorMessage="1" allowBlank="1" errorTitle="Invalid Entry" error="Must be a non-negative whole number" type="whole" operator="greaterThanOrEqual">
      <formula1>0</formula1>
    </dataValidation>
    <dataValidation sqref="G5:G64" showDropDown="0" showInputMessage="0" showErrorMessage="1" allowBlank="1" errorTitle="Invalid Entry" error="Must be a non-negative whole number" type="whole" operator="greaterThanOrEqual">
      <formula1>0</formula1>
    </dataValidation>
    <dataValidation sqref="B5:B64" showDropDown="0" showInputMessage="0" showErrorMessage="0" allowBlank="1" errorTitle="Invalid Date" error="Enter a valid date (e.g. 2025-01-15)" promptTitle="Date Required" prompt="Enter the date for this sprint day" type="date"/>
    <dataValidation sqref="E5:E64" showDropDown="0" showInputMessage="0" showErrorMessage="0" allowBlank="1" errorTitle="Validation Error" error="Calls Completed cannot exceed Calls Booked (E ≤ D)" type="custom">
      <formula1>AND(E5&gt;=0,E5&lt;=D5)</formula1>
    </dataValidation>
    <dataValidation sqref="H5:H64" showDropDown="0" showInputMessage="0" showErrorMessage="0" allowBlank="1" errorTitle="Validation Error" error="LOIs Signed cannot exceed LOIs Issued (H ≤ G)" type="custom">
      <formula1>AND(H5&gt;=0,H5&lt;=G5)</formula1>
    </dataValidation>
    <dataValidation sqref="I5:I64" showDropDown="0" showInputMessage="0" showErrorMessage="0" allowBlank="1" errorTitle="Validation Error" error="Pilots Signed cannot exceed LOIs Signed (I ≤ H)" type="custom">
      <formula1>AND(I5&gt;=0,I5&lt;=H5)</formula1>
    </dataValidation>
  </dataValidations>
  <pageMargins left="0.75" right="0.75" top="1" bottom="1" header="0.5" footer="0.5"/>
  <pageSetup orientation="landscape" fitToWidth="1"/>
  <headerFooter>
    <oddHeader/>
    <oddFooter>&amp;CMEOS v1.0 · Tajribti Track 0 · Built 2026-07-27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D4ED8"/>
    <outlinePr summaryBelow="1" summaryRight="1"/>
    <pageSetUpPr fitToPage="1"/>
  </sheetPr>
  <dimension ref="A1:AG2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8.7" customWidth="1" min="3" max="3"/>
    <col width="14.7" customWidth="1" min="4" max="4"/>
    <col width="20" customWidth="1" min="5" max="5"/>
    <col width="24" customWidth="1" min="6" max="6"/>
    <col width="26.7" customWidth="1" min="7" max="7"/>
    <col width="26.7" customWidth="1" min="8" max="8"/>
    <col width="17.3" customWidth="1" min="9" max="9"/>
    <col width="20" customWidth="1" min="10" max="10"/>
    <col width="16" customWidth="1" min="11" max="11"/>
    <col width="16" customWidth="1" min="12" max="12"/>
    <col width="16" customWidth="1" min="13" max="13"/>
    <col width="20" customWidth="1" min="14" max="14"/>
    <col width="40" customWidth="1" min="15" max="15"/>
    <col width="40" customWidth="1" min="16" max="16"/>
    <col width="16" customWidth="1" min="17" max="17"/>
    <col width="16" customWidth="1" min="18" max="18"/>
    <col width="17.3" customWidth="1" min="19" max="19"/>
    <col width="20" customWidth="1" min="20" max="20"/>
    <col width="26.7" customWidth="1" min="21" max="21"/>
    <col width="26.7" customWidth="1" min="22" max="22"/>
    <col width="18.7" customWidth="1" min="23" max="23"/>
    <col width="20" customWidth="1" min="24" max="24"/>
    <col width="20" customWidth="1" min="25" max="25"/>
    <col width="16" customWidth="1" min="26" max="26"/>
    <col width="40" customWidth="1" min="27" max="27"/>
    <col width="20" customWidth="1" min="28" max="28"/>
    <col width="20" customWidth="1" min="29" max="29"/>
    <col width="26.7" customWidth="1" min="30" max="30"/>
    <col width="14.7" customWidth="1" min="31" max="31"/>
    <col width="17.3" customWidth="1" min="32" max="32"/>
    <col width="16" customWidth="1" min="33" max="33"/>
  </cols>
  <sheetData>
    <row r="1" ht="24" customHeight="1">
      <c r="A1" s="16" t="inlineStr">
        <is>
          <t>Account ID</t>
        </is>
      </c>
      <c r="B1" s="16" t="inlineStr">
        <is>
          <t>Company Name</t>
        </is>
      </c>
      <c r="C1" s="16" t="inlineStr">
        <is>
          <t>Category</t>
        </is>
      </c>
      <c r="D1" s="16" t="inlineStr">
        <is>
          <t>Priority Tier</t>
        </is>
      </c>
      <c r="E1" s="16" t="inlineStr">
        <is>
          <t>Primary Contact Name</t>
        </is>
      </c>
      <c r="F1" s="16" t="inlineStr">
        <is>
          <t>Primary Contact Title</t>
        </is>
      </c>
      <c r="G1" s="16" t="inlineStr">
        <is>
          <t>Primary Contact LinkedIn</t>
        </is>
      </c>
      <c r="H1" s="16" t="inlineStr">
        <is>
          <t>Primary Contact Email</t>
        </is>
      </c>
      <c r="I1" s="16" t="inlineStr">
        <is>
          <t>Relationship Source</t>
        </is>
      </c>
      <c r="J1" s="16" t="inlineStr">
        <is>
          <t>Warm Intro Provider</t>
        </is>
      </c>
      <c r="K1" s="16" t="inlineStr">
        <is>
          <t>First Outreach Date</t>
        </is>
      </c>
      <c r="L1" s="16" t="inlineStr">
        <is>
          <t>First Outreach Channel</t>
        </is>
      </c>
      <c r="M1" s="16" t="inlineStr">
        <is>
          <t>Last Touchpoint Date</t>
        </is>
      </c>
      <c r="N1" s="16" t="inlineStr">
        <is>
          <t>Last Touchpoint Type</t>
        </is>
      </c>
      <c r="O1" s="16" t="inlineStr">
        <is>
          <t>Last Touchpoint Notes</t>
        </is>
      </c>
      <c r="P1" s="16" t="inlineStr">
        <is>
          <t>Next Action</t>
        </is>
      </c>
      <c r="Q1" s="16" t="inlineStr">
        <is>
          <t>Next Action Date</t>
        </is>
      </c>
      <c r="R1" s="16" t="inlineStr">
        <is>
          <t>CRM Stage</t>
        </is>
      </c>
      <c r="S1" s="16" t="inlineStr">
        <is>
          <t>Discovery Call Date</t>
        </is>
      </c>
      <c r="T1" s="16" t="inlineStr">
        <is>
          <t>Discovery Call Outcome</t>
        </is>
      </c>
      <c r="U1" s="16" t="inlineStr">
        <is>
          <t>Objection</t>
        </is>
      </c>
      <c r="V1" s="16" t="inlineStr">
        <is>
          <t>Objection Response</t>
        </is>
      </c>
      <c r="W1" s="16" t="inlineStr">
        <is>
          <t>Decision-Maker Identified</t>
        </is>
      </c>
      <c r="X1" s="16" t="inlineStr">
        <is>
          <t>Decision-Maker Name</t>
        </is>
      </c>
      <c r="Y1" s="16" t="inlineStr">
        <is>
          <t>Campaign Budget Signal</t>
        </is>
      </c>
      <c r="Z1" s="16" t="inlineStr">
        <is>
          <t>Pilot Interest Level</t>
        </is>
      </c>
      <c r="AA1" s="16" t="inlineStr">
        <is>
          <t>Account Owner Notes</t>
        </is>
      </c>
      <c r="AB1" s="16" t="inlineStr">
        <is>
          <t>Contact 2 Name</t>
        </is>
      </c>
      <c r="AC1" s="16" t="inlineStr">
        <is>
          <t>Contact 2 Title</t>
        </is>
      </c>
      <c r="AD1" s="16" t="inlineStr">
        <is>
          <t>Contact 2 LinkedIn</t>
        </is>
      </c>
      <c r="AE1" s="16" t="inlineStr">
        <is>
          <t>Days Since Last Touch</t>
        </is>
      </c>
      <c r="AF1" s="16" t="inlineStr">
        <is>
          <t>Overdue Next Action</t>
        </is>
      </c>
      <c r="AG1" s="16" t="inlineStr">
        <is>
          <t>Stage Sync Check</t>
        </is>
      </c>
    </row>
    <row r="2" ht="18" customHeight="1">
      <c r="A2" s="17" t="inlineStr">
        <is>
          <t>BRD-001</t>
        </is>
      </c>
      <c r="B2" s="18" t="inlineStr">
        <is>
          <t>Procter &amp; Gamble Egypt</t>
        </is>
      </c>
      <c r="C2" s="19" t="inlineStr">
        <is>
          <t>Personal Care</t>
        </is>
      </c>
      <c r="D2" s="19" t="inlineStr">
        <is>
          <t>Tier 1</t>
        </is>
      </c>
      <c r="E2" s="20" t="n"/>
      <c r="F2" s="20" t="n"/>
      <c r="G2" s="20" t="n"/>
      <c r="H2" s="20" t="n"/>
      <c r="I2" s="20" t="n"/>
      <c r="J2" s="20" t="n"/>
      <c r="K2" s="21" t="n"/>
      <c r="L2" s="20" t="n"/>
      <c r="M2" s="21" t="n"/>
      <c r="N2" s="20" t="n"/>
      <c r="O2" s="20" t="n"/>
      <c r="P2" s="20" t="n"/>
      <c r="Q2" s="21" t="n"/>
      <c r="R2" s="22" t="inlineStr">
        <is>
          <t>Stage 0</t>
        </is>
      </c>
      <c r="S2" s="21" t="n"/>
      <c r="T2" s="20" t="n"/>
      <c r="U2" s="20" t="n"/>
      <c r="V2" s="20" t="n"/>
      <c r="W2" s="20" t="n"/>
      <c r="X2" s="20" t="n"/>
      <c r="Y2" s="20" t="n"/>
      <c r="Z2" s="23" t="inlineStr">
        <is>
          <t>Cold</t>
        </is>
      </c>
      <c r="AA2" s="20" t="n"/>
      <c r="AB2" s="20" t="n"/>
      <c r="AC2" s="20" t="n"/>
      <c r="AD2" s="20" t="n"/>
      <c r="AE2" s="24">
        <f>IF(M2="","",TODAY()-M2)</f>
        <v/>
      </c>
      <c r="AF2" s="25">
        <f>IF(Q2="","",IF(AND(Q2&lt;TODAY(),R2&lt;&gt;"Stage X",R2&lt;&gt;"Stage 6"),"⚠️ OVERDUE",""))</f>
        <v/>
      </c>
      <c r="AG2" s="25">
        <f>IF(A2="","",IF(R2=IFERROR(VLOOKUP(A2,Pipeline!$A:$E,5,FALSE),""),"✓","⚠️ SYNC ERROR"))</f>
        <v/>
      </c>
    </row>
    <row r="3" ht="18" customHeight="1">
      <c r="A3" s="17" t="inlineStr">
        <is>
          <t>BRD-002</t>
        </is>
      </c>
      <c r="B3" s="18" t="inlineStr">
        <is>
          <t>Unilever Egypt</t>
        </is>
      </c>
      <c r="C3" s="19" t="inlineStr">
        <is>
          <t>Personal Care</t>
        </is>
      </c>
      <c r="D3" s="19" t="inlineStr">
        <is>
          <t>Tier 1</t>
        </is>
      </c>
      <c r="E3" s="20" t="n"/>
      <c r="F3" s="20" t="n"/>
      <c r="G3" s="20" t="n"/>
      <c r="H3" s="20" t="n"/>
      <c r="I3" s="20" t="n"/>
      <c r="J3" s="20" t="n"/>
      <c r="K3" s="21" t="n"/>
      <c r="L3" s="20" t="n"/>
      <c r="M3" s="21" t="n"/>
      <c r="N3" s="20" t="n"/>
      <c r="O3" s="20" t="n"/>
      <c r="P3" s="20" t="n"/>
      <c r="Q3" s="21" t="n"/>
      <c r="R3" s="22" t="inlineStr">
        <is>
          <t>Stage 0</t>
        </is>
      </c>
      <c r="S3" s="21" t="n"/>
      <c r="T3" s="20" t="n"/>
      <c r="U3" s="20" t="n"/>
      <c r="V3" s="20" t="n"/>
      <c r="W3" s="20" t="n"/>
      <c r="X3" s="20" t="n"/>
      <c r="Y3" s="20" t="n"/>
      <c r="Z3" s="23" t="inlineStr">
        <is>
          <t>Cold</t>
        </is>
      </c>
      <c r="AA3" s="20" t="n"/>
      <c r="AB3" s="20" t="n"/>
      <c r="AC3" s="20" t="n"/>
      <c r="AD3" s="20" t="n"/>
      <c r="AE3" s="24">
        <f>IF(M3="","",TODAY()-M3)</f>
        <v/>
      </c>
      <c r="AF3" s="25">
        <f>IF(Q3="","",IF(AND(Q3&lt;TODAY(),R3&lt;&gt;"Stage X",R3&lt;&gt;"Stage 6"),"⚠️ OVERDUE",""))</f>
        <v/>
      </c>
      <c r="AG3" s="25">
        <f>IF(A3="","",IF(R3=IFERROR(VLOOKUP(A3,Pipeline!$A:$E,5,FALSE),""),"✓","⚠️ SYNC ERROR"))</f>
        <v/>
      </c>
    </row>
    <row r="4" ht="18" customHeight="1">
      <c r="A4" s="17" t="inlineStr">
        <is>
          <t>BRD-003</t>
        </is>
      </c>
      <c r="B4" s="18" t="inlineStr">
        <is>
          <t>Nestlé Egypt</t>
        </is>
      </c>
      <c r="C4" s="19" t="inlineStr">
        <is>
          <t>Food</t>
        </is>
      </c>
      <c r="D4" s="19" t="inlineStr">
        <is>
          <t>Tier 1</t>
        </is>
      </c>
      <c r="E4" s="20" t="n"/>
      <c r="F4" s="20" t="n"/>
      <c r="G4" s="20" t="n"/>
      <c r="H4" s="20" t="n"/>
      <c r="I4" s="20" t="n"/>
      <c r="J4" s="20" t="n"/>
      <c r="K4" s="21" t="n"/>
      <c r="L4" s="20" t="n"/>
      <c r="M4" s="21" t="n"/>
      <c r="N4" s="20" t="n"/>
      <c r="O4" s="20" t="n"/>
      <c r="P4" s="20" t="n"/>
      <c r="Q4" s="21" t="n"/>
      <c r="R4" s="22" t="inlineStr">
        <is>
          <t>Stage 0</t>
        </is>
      </c>
      <c r="S4" s="21" t="n"/>
      <c r="T4" s="20" t="n"/>
      <c r="U4" s="20" t="n"/>
      <c r="V4" s="20" t="n"/>
      <c r="W4" s="20" t="n"/>
      <c r="X4" s="20" t="n"/>
      <c r="Y4" s="20" t="n"/>
      <c r="Z4" s="23" t="inlineStr">
        <is>
          <t>Cold</t>
        </is>
      </c>
      <c r="AA4" s="20" t="n"/>
      <c r="AB4" s="20" t="n"/>
      <c r="AC4" s="20" t="n"/>
      <c r="AD4" s="20" t="n"/>
      <c r="AE4" s="24">
        <f>IF(M4="","",TODAY()-M4)</f>
        <v/>
      </c>
      <c r="AF4" s="25">
        <f>IF(Q4="","",IF(AND(Q4&lt;TODAY(),R4&lt;&gt;"Stage X",R4&lt;&gt;"Stage 6"),"⚠️ OVERDUE",""))</f>
        <v/>
      </c>
      <c r="AG4" s="25">
        <f>IF(A4="","",IF(R4=IFERROR(VLOOKUP(A4,Pipeline!$A:$E,5,FALSE),""),"✓","⚠️ SYNC ERROR"))</f>
        <v/>
      </c>
    </row>
    <row r="5" ht="18" customHeight="1">
      <c r="A5" s="17" t="inlineStr">
        <is>
          <t>BRD-004</t>
        </is>
      </c>
      <c r="B5" s="18" t="inlineStr">
        <is>
          <t>PepsiCo Egypt</t>
        </is>
      </c>
      <c r="C5" s="19" t="inlineStr">
        <is>
          <t>Beverage</t>
        </is>
      </c>
      <c r="D5" s="19" t="inlineStr">
        <is>
          <t>Tier 1</t>
        </is>
      </c>
      <c r="E5" s="20" t="n"/>
      <c r="F5" s="20" t="n"/>
      <c r="G5" s="20" t="n"/>
      <c r="H5" s="20" t="n"/>
      <c r="I5" s="20" t="n"/>
      <c r="J5" s="20" t="n"/>
      <c r="K5" s="21" t="n"/>
      <c r="L5" s="20" t="n"/>
      <c r="M5" s="21" t="n"/>
      <c r="N5" s="20" t="n"/>
      <c r="O5" s="20" t="n"/>
      <c r="P5" s="20" t="n"/>
      <c r="Q5" s="21" t="n"/>
      <c r="R5" s="22" t="inlineStr">
        <is>
          <t>Stage 0</t>
        </is>
      </c>
      <c r="S5" s="21" t="n"/>
      <c r="T5" s="20" t="n"/>
      <c r="U5" s="20" t="n"/>
      <c r="V5" s="20" t="n"/>
      <c r="W5" s="20" t="n"/>
      <c r="X5" s="20" t="n"/>
      <c r="Y5" s="20" t="n"/>
      <c r="Z5" s="23" t="inlineStr">
        <is>
          <t>Cold</t>
        </is>
      </c>
      <c r="AA5" s="20" t="n"/>
      <c r="AB5" s="20" t="n"/>
      <c r="AC5" s="20" t="n"/>
      <c r="AD5" s="20" t="n"/>
      <c r="AE5" s="24">
        <f>IF(M5="","",TODAY()-M5)</f>
        <v/>
      </c>
      <c r="AF5" s="25">
        <f>IF(Q5="","",IF(AND(Q5&lt;TODAY(),R5&lt;&gt;"Stage X",R5&lt;&gt;"Stage 6"),"⚠️ OVERDUE",""))</f>
        <v/>
      </c>
      <c r="AG5" s="25">
        <f>IF(A5="","",IF(R5=IFERROR(VLOOKUP(A5,Pipeline!$A:$E,5,FALSE),""),"✓","⚠️ SYNC ERROR"))</f>
        <v/>
      </c>
    </row>
    <row r="6" ht="18" customHeight="1">
      <c r="A6" s="17" t="inlineStr">
        <is>
          <t>BRD-005</t>
        </is>
      </c>
      <c r="B6" s="18" t="inlineStr">
        <is>
          <t>Coca-Cola Egypt</t>
        </is>
      </c>
      <c r="C6" s="19" t="inlineStr">
        <is>
          <t>Beverage</t>
        </is>
      </c>
      <c r="D6" s="19" t="inlineStr">
        <is>
          <t>Tier 1</t>
        </is>
      </c>
      <c r="E6" s="20" t="n"/>
      <c r="F6" s="20" t="n"/>
      <c r="G6" s="20" t="n"/>
      <c r="H6" s="20" t="n"/>
      <c r="I6" s="20" t="n"/>
      <c r="J6" s="20" t="n"/>
      <c r="K6" s="21" t="n"/>
      <c r="L6" s="20" t="n"/>
      <c r="M6" s="21" t="n"/>
      <c r="N6" s="20" t="n"/>
      <c r="O6" s="20" t="n"/>
      <c r="P6" s="20" t="n"/>
      <c r="Q6" s="21" t="n"/>
      <c r="R6" s="22" t="inlineStr">
        <is>
          <t>Stage 0</t>
        </is>
      </c>
      <c r="S6" s="21" t="n"/>
      <c r="T6" s="20" t="n"/>
      <c r="U6" s="20" t="n"/>
      <c r="V6" s="20" t="n"/>
      <c r="W6" s="20" t="n"/>
      <c r="X6" s="20" t="n"/>
      <c r="Y6" s="20" t="n"/>
      <c r="Z6" s="23" t="inlineStr">
        <is>
          <t>Cold</t>
        </is>
      </c>
      <c r="AA6" s="20" t="n"/>
      <c r="AB6" s="20" t="n"/>
      <c r="AC6" s="20" t="n"/>
      <c r="AD6" s="20" t="n"/>
      <c r="AE6" s="24">
        <f>IF(M6="","",TODAY()-M6)</f>
        <v/>
      </c>
      <c r="AF6" s="25">
        <f>IF(Q6="","",IF(AND(Q6&lt;TODAY(),R6&lt;&gt;"Stage X",R6&lt;&gt;"Stage 6"),"⚠️ OVERDUE",""))</f>
        <v/>
      </c>
      <c r="AG6" s="25">
        <f>IF(A6="","",IF(R6=IFERROR(VLOOKUP(A6,Pipeline!$A:$E,5,FALSE),""),"✓","⚠️ SYNC ERROR"))</f>
        <v/>
      </c>
    </row>
    <row r="7" ht="18" customHeight="1">
      <c r="A7" s="17" t="inlineStr">
        <is>
          <t>BRD-006</t>
        </is>
      </c>
      <c r="B7" s="18" t="inlineStr">
        <is>
          <t>Johnson &amp; Johnson Egypt</t>
        </is>
      </c>
      <c r="C7" s="19" t="inlineStr">
        <is>
          <t>Pharma-OTC</t>
        </is>
      </c>
      <c r="D7" s="19" t="inlineStr">
        <is>
          <t>Tier 1</t>
        </is>
      </c>
      <c r="E7" s="20" t="n"/>
      <c r="F7" s="20" t="n"/>
      <c r="G7" s="20" t="n"/>
      <c r="H7" s="20" t="n"/>
      <c r="I7" s="20" t="n"/>
      <c r="J7" s="20" t="n"/>
      <c r="K7" s="21" t="n"/>
      <c r="L7" s="20" t="n"/>
      <c r="M7" s="21" t="n"/>
      <c r="N7" s="20" t="n"/>
      <c r="O7" s="20" t="n"/>
      <c r="P7" s="20" t="n"/>
      <c r="Q7" s="21" t="n"/>
      <c r="R7" s="22" t="inlineStr">
        <is>
          <t>Stage 0</t>
        </is>
      </c>
      <c r="S7" s="21" t="n"/>
      <c r="T7" s="20" t="n"/>
      <c r="U7" s="20" t="n"/>
      <c r="V7" s="20" t="n"/>
      <c r="W7" s="20" t="n"/>
      <c r="X7" s="20" t="n"/>
      <c r="Y7" s="20" t="n"/>
      <c r="Z7" s="23" t="inlineStr">
        <is>
          <t>Cold</t>
        </is>
      </c>
      <c r="AA7" s="20" t="n"/>
      <c r="AB7" s="20" t="n"/>
      <c r="AC7" s="20" t="n"/>
      <c r="AD7" s="20" t="n"/>
      <c r="AE7" s="24">
        <f>IF(M7="","",TODAY()-M7)</f>
        <v/>
      </c>
      <c r="AF7" s="25">
        <f>IF(Q7="","",IF(AND(Q7&lt;TODAY(),R7&lt;&gt;"Stage X",R7&lt;&gt;"Stage 6"),"⚠️ OVERDUE",""))</f>
        <v/>
      </c>
      <c r="AG7" s="25">
        <f>IF(A7="","",IF(R7=IFERROR(VLOOKUP(A7,Pipeline!$A:$E,5,FALSE),""),"✓","⚠️ SYNC ERROR"))</f>
        <v/>
      </c>
    </row>
    <row r="8" ht="18" customHeight="1">
      <c r="A8" s="17" t="inlineStr">
        <is>
          <t>BRD-007</t>
        </is>
      </c>
      <c r="B8" s="18" t="inlineStr">
        <is>
          <t>L'Oréal Egypt</t>
        </is>
      </c>
      <c r="C8" s="19" t="inlineStr">
        <is>
          <t>Beauty</t>
        </is>
      </c>
      <c r="D8" s="19" t="inlineStr">
        <is>
          <t>Tier 1</t>
        </is>
      </c>
      <c r="E8" s="20" t="n"/>
      <c r="F8" s="20" t="n"/>
      <c r="G8" s="20" t="n"/>
      <c r="H8" s="20" t="n"/>
      <c r="I8" s="20" t="n"/>
      <c r="J8" s="20" t="n"/>
      <c r="K8" s="21" t="n"/>
      <c r="L8" s="20" t="n"/>
      <c r="M8" s="21" t="n"/>
      <c r="N8" s="20" t="n"/>
      <c r="O8" s="20" t="n"/>
      <c r="P8" s="20" t="n"/>
      <c r="Q8" s="21" t="n"/>
      <c r="R8" s="22" t="inlineStr">
        <is>
          <t>Stage 0</t>
        </is>
      </c>
      <c r="S8" s="21" t="n"/>
      <c r="T8" s="20" t="n"/>
      <c r="U8" s="20" t="n"/>
      <c r="V8" s="20" t="n"/>
      <c r="W8" s="20" t="n"/>
      <c r="X8" s="20" t="n"/>
      <c r="Y8" s="20" t="n"/>
      <c r="Z8" s="23" t="inlineStr">
        <is>
          <t>Cold</t>
        </is>
      </c>
      <c r="AA8" s="20" t="n"/>
      <c r="AB8" s="20" t="n"/>
      <c r="AC8" s="20" t="n"/>
      <c r="AD8" s="20" t="n"/>
      <c r="AE8" s="24">
        <f>IF(M8="","",TODAY()-M8)</f>
        <v/>
      </c>
      <c r="AF8" s="25">
        <f>IF(Q8="","",IF(AND(Q8&lt;TODAY(),R8&lt;&gt;"Stage X",R8&lt;&gt;"Stage 6"),"⚠️ OVERDUE",""))</f>
        <v/>
      </c>
      <c r="AG8" s="25">
        <f>IF(A8="","",IF(R8=IFERROR(VLOOKUP(A8,Pipeline!$A:$E,5,FALSE),""),"✓","⚠️ SYNC ERROR"))</f>
        <v/>
      </c>
    </row>
    <row r="9" ht="18" customHeight="1">
      <c r="A9" s="17" t="inlineStr">
        <is>
          <t>BRD-008</t>
        </is>
      </c>
      <c r="B9" s="18" t="inlineStr">
        <is>
          <t>Dabur Egypt</t>
        </is>
      </c>
      <c r="C9" s="19" t="inlineStr">
        <is>
          <t>Food</t>
        </is>
      </c>
      <c r="D9" s="19" t="inlineStr">
        <is>
          <t>Tier 2</t>
        </is>
      </c>
      <c r="E9" s="20" t="n"/>
      <c r="F9" s="20" t="n"/>
      <c r="G9" s="20" t="n"/>
      <c r="H9" s="20" t="n"/>
      <c r="I9" s="20" t="n"/>
      <c r="J9" s="20" t="n"/>
      <c r="K9" s="21" t="n"/>
      <c r="L9" s="20" t="n"/>
      <c r="M9" s="21" t="n"/>
      <c r="N9" s="20" t="n"/>
      <c r="O9" s="20" t="n"/>
      <c r="P9" s="20" t="n"/>
      <c r="Q9" s="21" t="n"/>
      <c r="R9" s="22" t="inlineStr">
        <is>
          <t>Stage 0</t>
        </is>
      </c>
      <c r="S9" s="21" t="n"/>
      <c r="T9" s="20" t="n"/>
      <c r="U9" s="20" t="n"/>
      <c r="V9" s="20" t="n"/>
      <c r="W9" s="20" t="n"/>
      <c r="X9" s="20" t="n"/>
      <c r="Y9" s="20" t="n"/>
      <c r="Z9" s="23" t="inlineStr">
        <is>
          <t>Cold</t>
        </is>
      </c>
      <c r="AA9" s="20" t="n"/>
      <c r="AB9" s="20" t="n"/>
      <c r="AC9" s="20" t="n"/>
      <c r="AD9" s="20" t="n"/>
      <c r="AE9" s="24">
        <f>IF(M9="","",TODAY()-M9)</f>
        <v/>
      </c>
      <c r="AF9" s="25">
        <f>IF(Q9="","",IF(AND(Q9&lt;TODAY(),R9&lt;&gt;"Stage X",R9&lt;&gt;"Stage 6"),"⚠️ OVERDUE",""))</f>
        <v/>
      </c>
      <c r="AG9" s="25">
        <f>IF(A9="","",IF(R9=IFERROR(VLOOKUP(A9,Pipeline!$A:$E,5,FALSE),""),"✓","⚠️ SYNC ERROR"))</f>
        <v/>
      </c>
    </row>
    <row r="10" ht="18" customHeight="1">
      <c r="A10" s="17" t="inlineStr">
        <is>
          <t>BRD-009</t>
        </is>
      </c>
      <c r="B10" s="18" t="inlineStr">
        <is>
          <t>Hana Group</t>
        </is>
      </c>
      <c r="C10" s="19" t="inlineStr">
        <is>
          <t>Beauty</t>
        </is>
      </c>
      <c r="D10" s="19" t="inlineStr">
        <is>
          <t>Tier 2</t>
        </is>
      </c>
      <c r="E10" s="20" t="n"/>
      <c r="F10" s="20" t="n"/>
      <c r="G10" s="20" t="n"/>
      <c r="H10" s="20" t="n"/>
      <c r="I10" s="20" t="n"/>
      <c r="J10" s="20" t="n"/>
      <c r="K10" s="21" t="n"/>
      <c r="L10" s="20" t="n"/>
      <c r="M10" s="21" t="n"/>
      <c r="N10" s="20" t="n"/>
      <c r="O10" s="20" t="n"/>
      <c r="P10" s="20" t="n"/>
      <c r="Q10" s="21" t="n"/>
      <c r="R10" s="22" t="inlineStr">
        <is>
          <t>Stage 0</t>
        </is>
      </c>
      <c r="S10" s="21" t="n"/>
      <c r="T10" s="20" t="n"/>
      <c r="U10" s="20" t="n"/>
      <c r="V10" s="20" t="n"/>
      <c r="W10" s="20" t="n"/>
      <c r="X10" s="20" t="n"/>
      <c r="Y10" s="20" t="n"/>
      <c r="Z10" s="23" t="inlineStr">
        <is>
          <t>Cold</t>
        </is>
      </c>
      <c r="AA10" s="20" t="n"/>
      <c r="AB10" s="20" t="n"/>
      <c r="AC10" s="20" t="n"/>
      <c r="AD10" s="20" t="n"/>
      <c r="AE10" s="24">
        <f>IF(M10="","",TODAY()-M10)</f>
        <v/>
      </c>
      <c r="AF10" s="25">
        <f>IF(Q10="","",IF(AND(Q10&lt;TODAY(),R10&lt;&gt;"Stage X",R10&lt;&gt;"Stage 6"),"⚠️ OVERDUE",""))</f>
        <v/>
      </c>
      <c r="AG10" s="25">
        <f>IF(A10="","",IF(R10=IFERROR(VLOOKUP(A10,Pipeline!$A:$E,5,FALSE),""),"✓","⚠️ SYNC ERROR"))</f>
        <v/>
      </c>
    </row>
    <row r="11" ht="18" customHeight="1">
      <c r="A11" s="17" t="inlineStr">
        <is>
          <t>BRD-010</t>
        </is>
      </c>
      <c r="B11" s="18" t="inlineStr">
        <is>
          <t>OLA (Chipsy) Egypt</t>
        </is>
      </c>
      <c r="C11" s="19" t="inlineStr">
        <is>
          <t>Snacks</t>
        </is>
      </c>
      <c r="D11" s="19" t="inlineStr">
        <is>
          <t>Tier 2</t>
        </is>
      </c>
      <c r="E11" s="20" t="n"/>
      <c r="F11" s="20" t="n"/>
      <c r="G11" s="20" t="n"/>
      <c r="H11" s="20" t="n"/>
      <c r="I11" s="20" t="n"/>
      <c r="J11" s="20" t="n"/>
      <c r="K11" s="21" t="n"/>
      <c r="L11" s="20" t="n"/>
      <c r="M11" s="21" t="n"/>
      <c r="N11" s="20" t="n"/>
      <c r="O11" s="20" t="n"/>
      <c r="P11" s="20" t="n"/>
      <c r="Q11" s="21" t="n"/>
      <c r="R11" s="22" t="inlineStr">
        <is>
          <t>Stage 0</t>
        </is>
      </c>
      <c r="S11" s="21" t="n"/>
      <c r="T11" s="20" t="n"/>
      <c r="U11" s="20" t="n"/>
      <c r="V11" s="20" t="n"/>
      <c r="W11" s="20" t="n"/>
      <c r="X11" s="20" t="n"/>
      <c r="Y11" s="20" t="n"/>
      <c r="Z11" s="23" t="inlineStr">
        <is>
          <t>Cold</t>
        </is>
      </c>
      <c r="AA11" s="20" t="n"/>
      <c r="AB11" s="20" t="n"/>
      <c r="AC11" s="20" t="n"/>
      <c r="AD11" s="20" t="n"/>
      <c r="AE11" s="24">
        <f>IF(M11="","",TODAY()-M11)</f>
        <v/>
      </c>
      <c r="AF11" s="25">
        <f>IF(Q11="","",IF(AND(Q11&lt;TODAY(),R11&lt;&gt;"Stage X",R11&lt;&gt;"Stage 6"),"⚠️ OVERDUE",""))</f>
        <v/>
      </c>
      <c r="AG11" s="25">
        <f>IF(A11="","",IF(R11=IFERROR(VLOOKUP(A11,Pipeline!$A:$E,5,FALSE),""),"✓","⚠️ SYNC ERROR"))</f>
        <v/>
      </c>
    </row>
    <row r="12" ht="18" customHeight="1">
      <c r="A12" s="17" t="inlineStr">
        <is>
          <t>BRD-011</t>
        </is>
      </c>
      <c r="B12" s="18" t="inlineStr">
        <is>
          <t>El-Rashidi El-Mizan</t>
        </is>
      </c>
      <c r="C12" s="19" t="inlineStr">
        <is>
          <t>FMCG</t>
        </is>
      </c>
      <c r="D12" s="19" t="inlineStr">
        <is>
          <t>Tier 2</t>
        </is>
      </c>
      <c r="E12" s="20" t="n"/>
      <c r="F12" s="20" t="n"/>
      <c r="G12" s="20" t="n"/>
      <c r="H12" s="20" t="n"/>
      <c r="I12" s="20" t="n"/>
      <c r="J12" s="20" t="n"/>
      <c r="K12" s="21" t="n"/>
      <c r="L12" s="20" t="n"/>
      <c r="M12" s="21" t="n"/>
      <c r="N12" s="20" t="n"/>
      <c r="O12" s="20" t="n"/>
      <c r="P12" s="20" t="n"/>
      <c r="Q12" s="21" t="n"/>
      <c r="R12" s="22" t="inlineStr">
        <is>
          <t>Stage 0</t>
        </is>
      </c>
      <c r="S12" s="21" t="n"/>
      <c r="T12" s="20" t="n"/>
      <c r="U12" s="20" t="n"/>
      <c r="V12" s="20" t="n"/>
      <c r="W12" s="20" t="n"/>
      <c r="X12" s="20" t="n"/>
      <c r="Y12" s="20" t="n"/>
      <c r="Z12" s="23" t="inlineStr">
        <is>
          <t>Cold</t>
        </is>
      </c>
      <c r="AA12" s="20" t="n"/>
      <c r="AB12" s="20" t="n"/>
      <c r="AC12" s="20" t="n"/>
      <c r="AD12" s="20" t="n"/>
      <c r="AE12" s="24">
        <f>IF(M12="","",TODAY()-M12)</f>
        <v/>
      </c>
      <c r="AF12" s="25">
        <f>IF(Q12="","",IF(AND(Q12&lt;TODAY(),R12&lt;&gt;"Stage X",R12&lt;&gt;"Stage 6"),"⚠️ OVERDUE",""))</f>
        <v/>
      </c>
      <c r="AG12" s="25">
        <f>IF(A12="","",IF(R12=IFERROR(VLOOKUP(A12,Pipeline!$A:$E,5,FALSE),""),"✓","⚠️ SYNC ERROR"))</f>
        <v/>
      </c>
    </row>
    <row r="13" ht="18" customHeight="1">
      <c r="A13" s="17" t="inlineStr">
        <is>
          <t>BRD-012</t>
        </is>
      </c>
      <c r="B13" s="18" t="inlineStr">
        <is>
          <t>Fine Egypt</t>
        </is>
      </c>
      <c r="C13" s="19" t="inlineStr">
        <is>
          <t>Home Care</t>
        </is>
      </c>
      <c r="D13" s="19" t="inlineStr">
        <is>
          <t>Tier 2</t>
        </is>
      </c>
      <c r="E13" s="20" t="n"/>
      <c r="F13" s="20" t="n"/>
      <c r="G13" s="20" t="n"/>
      <c r="H13" s="20" t="n"/>
      <c r="I13" s="20" t="n"/>
      <c r="J13" s="20" t="n"/>
      <c r="K13" s="21" t="n"/>
      <c r="L13" s="20" t="n"/>
      <c r="M13" s="21" t="n"/>
      <c r="N13" s="20" t="n"/>
      <c r="O13" s="20" t="n"/>
      <c r="P13" s="20" t="n"/>
      <c r="Q13" s="21" t="n"/>
      <c r="R13" s="22" t="inlineStr">
        <is>
          <t>Stage 0</t>
        </is>
      </c>
      <c r="S13" s="21" t="n"/>
      <c r="T13" s="20" t="n"/>
      <c r="U13" s="20" t="n"/>
      <c r="V13" s="20" t="n"/>
      <c r="W13" s="20" t="n"/>
      <c r="X13" s="20" t="n"/>
      <c r="Y13" s="20" t="n"/>
      <c r="Z13" s="23" t="inlineStr">
        <is>
          <t>Cold</t>
        </is>
      </c>
      <c r="AA13" s="20" t="n"/>
      <c r="AB13" s="20" t="n"/>
      <c r="AC13" s="20" t="n"/>
      <c r="AD13" s="20" t="n"/>
      <c r="AE13" s="24">
        <f>IF(M13="","",TODAY()-M13)</f>
        <v/>
      </c>
      <c r="AF13" s="25">
        <f>IF(Q13="","",IF(AND(Q13&lt;TODAY(),R13&lt;&gt;"Stage X",R13&lt;&gt;"Stage 6"),"⚠️ OVERDUE",""))</f>
        <v/>
      </c>
      <c r="AG13" s="25">
        <f>IF(A13="","",IF(R13=IFERROR(VLOOKUP(A13,Pipeline!$A:$E,5,FALSE),""),"✓","⚠️ SYNC ERROR"))</f>
        <v/>
      </c>
    </row>
    <row r="14" ht="18" customHeight="1">
      <c r="A14" s="17" t="inlineStr">
        <is>
          <t>BRD-013</t>
        </is>
      </c>
      <c r="B14" s="18" t="inlineStr">
        <is>
          <t>Juhayna</t>
        </is>
      </c>
      <c r="C14" s="19" t="inlineStr">
        <is>
          <t>Dairy</t>
        </is>
      </c>
      <c r="D14" s="19" t="inlineStr">
        <is>
          <t>Tier 2</t>
        </is>
      </c>
      <c r="E14" s="20" t="n"/>
      <c r="F14" s="20" t="n"/>
      <c r="G14" s="20" t="n"/>
      <c r="H14" s="20" t="n"/>
      <c r="I14" s="20" t="n"/>
      <c r="J14" s="20" t="n"/>
      <c r="K14" s="21" t="n"/>
      <c r="L14" s="20" t="n"/>
      <c r="M14" s="21" t="n"/>
      <c r="N14" s="20" t="n"/>
      <c r="O14" s="20" t="n"/>
      <c r="P14" s="20" t="n"/>
      <c r="Q14" s="21" t="n"/>
      <c r="R14" s="22" t="inlineStr">
        <is>
          <t>Stage 0</t>
        </is>
      </c>
      <c r="S14" s="21" t="n"/>
      <c r="T14" s="20" t="n"/>
      <c r="U14" s="20" t="n"/>
      <c r="V14" s="20" t="n"/>
      <c r="W14" s="20" t="n"/>
      <c r="X14" s="20" t="n"/>
      <c r="Y14" s="20" t="n"/>
      <c r="Z14" s="23" t="inlineStr">
        <is>
          <t>Cold</t>
        </is>
      </c>
      <c r="AA14" s="20" t="n"/>
      <c r="AB14" s="20" t="n"/>
      <c r="AC14" s="20" t="n"/>
      <c r="AD14" s="20" t="n"/>
      <c r="AE14" s="24">
        <f>IF(M14="","",TODAY()-M14)</f>
        <v/>
      </c>
      <c r="AF14" s="25">
        <f>IF(Q14="","",IF(AND(Q14&lt;TODAY(),R14&lt;&gt;"Stage X",R14&lt;&gt;"Stage 6"),"⚠️ OVERDUE",""))</f>
        <v/>
      </c>
      <c r="AG14" s="25">
        <f>IF(A14="","",IF(R14=IFERROR(VLOOKUP(A14,Pipeline!$A:$E,5,FALSE),""),"✓","⚠️ SYNC ERROR"))</f>
        <v/>
      </c>
    </row>
    <row r="15" ht="18" customHeight="1">
      <c r="A15" s="17" t="inlineStr">
        <is>
          <t>BRD-014</t>
        </is>
      </c>
      <c r="B15" s="18" t="inlineStr">
        <is>
          <t>Lactel Egypt</t>
        </is>
      </c>
      <c r="C15" s="19" t="inlineStr">
        <is>
          <t>Dairy</t>
        </is>
      </c>
      <c r="D15" s="19" t="inlineStr">
        <is>
          <t>Tier 3</t>
        </is>
      </c>
      <c r="E15" s="20" t="n"/>
      <c r="F15" s="20" t="n"/>
      <c r="G15" s="20" t="n"/>
      <c r="H15" s="20" t="n"/>
      <c r="I15" s="20" t="n"/>
      <c r="J15" s="20" t="n"/>
      <c r="K15" s="21" t="n"/>
      <c r="L15" s="20" t="n"/>
      <c r="M15" s="21" t="n"/>
      <c r="N15" s="20" t="n"/>
      <c r="O15" s="20" t="n"/>
      <c r="P15" s="20" t="n"/>
      <c r="Q15" s="21" t="n"/>
      <c r="R15" s="22" t="inlineStr">
        <is>
          <t>Stage 0</t>
        </is>
      </c>
      <c r="S15" s="21" t="n"/>
      <c r="T15" s="20" t="n"/>
      <c r="U15" s="20" t="n"/>
      <c r="V15" s="20" t="n"/>
      <c r="W15" s="20" t="n"/>
      <c r="X15" s="20" t="n"/>
      <c r="Y15" s="20" t="n"/>
      <c r="Z15" s="23" t="inlineStr">
        <is>
          <t>Cold</t>
        </is>
      </c>
      <c r="AA15" s="20" t="n"/>
      <c r="AB15" s="20" t="n"/>
      <c r="AC15" s="20" t="n"/>
      <c r="AD15" s="20" t="n"/>
      <c r="AE15" s="24">
        <f>IF(M15="","",TODAY()-M15)</f>
        <v/>
      </c>
      <c r="AF15" s="25">
        <f>IF(Q15="","",IF(AND(Q15&lt;TODAY(),R15&lt;&gt;"Stage X",R15&lt;&gt;"Stage 6"),"⚠️ OVERDUE",""))</f>
        <v/>
      </c>
      <c r="AG15" s="25">
        <f>IF(A15="","",IF(R15=IFERROR(VLOOKUP(A15,Pipeline!$A:$E,5,FALSE),""),"✓","⚠️ SYNC ERROR"))</f>
        <v/>
      </c>
    </row>
    <row r="16" ht="18" customHeight="1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1" t="n"/>
      <c r="L16" s="20" t="n"/>
      <c r="M16" s="21" t="n"/>
      <c r="N16" s="20" t="n"/>
      <c r="O16" s="20" t="n"/>
      <c r="P16" s="20" t="n"/>
      <c r="Q16" s="21" t="n"/>
      <c r="R16" s="20" t="n"/>
      <c r="S16" s="21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4">
        <f>IF(M16="","",TODAY()-M16)</f>
        <v/>
      </c>
      <c r="AF16" s="25">
        <f>IF(Q16="","",IF(AND(Q16&lt;TODAY(),R16&lt;&gt;"Stage X",R16&lt;&gt;"Stage 6"),"⚠️ OVERDUE",""))</f>
        <v/>
      </c>
      <c r="AG16" s="25">
        <f>IF(A16="","",IF(R16=IFERROR(VLOOKUP(A16,Pipeline!$A:$E,5,FALSE),""),"✓","⚠️ SYNC ERROR"))</f>
        <v/>
      </c>
    </row>
    <row r="17" ht="18" customHeight="1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1" t="n"/>
      <c r="L17" s="20" t="n"/>
      <c r="M17" s="21" t="n"/>
      <c r="N17" s="20" t="n"/>
      <c r="O17" s="20" t="n"/>
      <c r="P17" s="20" t="n"/>
      <c r="Q17" s="21" t="n"/>
      <c r="R17" s="20" t="n"/>
      <c r="S17" s="21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4">
        <f>IF(M17="","",TODAY()-M17)</f>
        <v/>
      </c>
      <c r="AF17" s="25">
        <f>IF(Q17="","",IF(AND(Q17&lt;TODAY(),R17&lt;&gt;"Stage X",R17&lt;&gt;"Stage 6"),"⚠️ OVERDUE",""))</f>
        <v/>
      </c>
      <c r="AG17" s="25">
        <f>IF(A17="","",IF(R17=IFERROR(VLOOKUP(A17,Pipeline!$A:$E,5,FALSE),""),"✓","⚠️ SYNC ERROR"))</f>
        <v/>
      </c>
    </row>
    <row r="18" ht="18" customHeight="1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1" t="n"/>
      <c r="L18" s="20" t="n"/>
      <c r="M18" s="21" t="n"/>
      <c r="N18" s="20" t="n"/>
      <c r="O18" s="20" t="n"/>
      <c r="P18" s="20" t="n"/>
      <c r="Q18" s="21" t="n"/>
      <c r="R18" s="20" t="n"/>
      <c r="S18" s="21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4">
        <f>IF(M18="","",TODAY()-M18)</f>
        <v/>
      </c>
      <c r="AF18" s="25">
        <f>IF(Q18="","",IF(AND(Q18&lt;TODAY(),R18&lt;&gt;"Stage X",R18&lt;&gt;"Stage 6"),"⚠️ OVERDUE",""))</f>
        <v/>
      </c>
      <c r="AG18" s="25">
        <f>IF(A18="","",IF(R18=IFERROR(VLOOKUP(A18,Pipeline!$A:$E,5,FALSE),""),"✓","⚠️ SYNC ERROR"))</f>
        <v/>
      </c>
    </row>
    <row r="19" ht="18" customHeight="1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1" t="n"/>
      <c r="L19" s="20" t="n"/>
      <c r="M19" s="21" t="n"/>
      <c r="N19" s="20" t="n"/>
      <c r="O19" s="20" t="n"/>
      <c r="P19" s="20" t="n"/>
      <c r="Q19" s="21" t="n"/>
      <c r="R19" s="20" t="n"/>
      <c r="S19" s="21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4">
        <f>IF(M19="","",TODAY()-M19)</f>
        <v/>
      </c>
      <c r="AF19" s="25">
        <f>IF(Q19="","",IF(AND(Q19&lt;TODAY(),R19&lt;&gt;"Stage X",R19&lt;&gt;"Stage 6"),"⚠️ OVERDUE",""))</f>
        <v/>
      </c>
      <c r="AG19" s="25">
        <f>IF(A19="","",IF(R19=IFERROR(VLOOKUP(A19,Pipeline!$A:$E,5,FALSE),""),"✓","⚠️ SYNC ERROR"))</f>
        <v/>
      </c>
    </row>
    <row r="20" ht="18" customHeight="1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1" t="n"/>
      <c r="L20" s="20" t="n"/>
      <c r="M20" s="21" t="n"/>
      <c r="N20" s="20" t="n"/>
      <c r="O20" s="20" t="n"/>
      <c r="P20" s="20" t="n"/>
      <c r="Q20" s="21" t="n"/>
      <c r="R20" s="20" t="n"/>
      <c r="S20" s="21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4">
        <f>IF(M20="","",TODAY()-M20)</f>
        <v/>
      </c>
      <c r="AF20" s="25">
        <f>IF(Q20="","",IF(AND(Q20&lt;TODAY(),R20&lt;&gt;"Stage X",R20&lt;&gt;"Stage 6"),"⚠️ OVERDUE",""))</f>
        <v/>
      </c>
      <c r="AG20" s="25">
        <f>IF(A20="","",IF(R20=IFERROR(VLOOKUP(A20,Pipeline!$A:$E,5,FALSE),""),"✓","⚠️ SYNC ERROR"))</f>
        <v/>
      </c>
    </row>
    <row r="21" ht="18" customHeight="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1" t="n"/>
      <c r="L21" s="20" t="n"/>
      <c r="M21" s="21" t="n"/>
      <c r="N21" s="20" t="n"/>
      <c r="O21" s="20" t="n"/>
      <c r="P21" s="20" t="n"/>
      <c r="Q21" s="21" t="n"/>
      <c r="R21" s="20" t="n"/>
      <c r="S21" s="21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4">
        <f>IF(M21="","",TODAY()-M21)</f>
        <v/>
      </c>
      <c r="AF21" s="25">
        <f>IF(Q21="","",IF(AND(Q21&lt;TODAY(),R21&lt;&gt;"Stage X",R21&lt;&gt;"Stage 6"),"⚠️ OVERDUE",""))</f>
        <v/>
      </c>
      <c r="AG21" s="25">
        <f>IF(A21="","",IF(R21=IFERROR(VLOOKUP(A21,Pipeline!$A:$E,5,FALSE),""),"✓","⚠️ SYNC ERROR"))</f>
        <v/>
      </c>
    </row>
    <row r="22" ht="18" customHeight="1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1" t="n"/>
      <c r="L22" s="20" t="n"/>
      <c r="M22" s="21" t="n"/>
      <c r="N22" s="20" t="n"/>
      <c r="O22" s="20" t="n"/>
      <c r="P22" s="20" t="n"/>
      <c r="Q22" s="21" t="n"/>
      <c r="R22" s="20" t="n"/>
      <c r="S22" s="21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4">
        <f>IF(M22="","",TODAY()-M22)</f>
        <v/>
      </c>
      <c r="AF22" s="25">
        <f>IF(Q22="","",IF(AND(Q22&lt;TODAY(),R22&lt;&gt;"Stage X",R22&lt;&gt;"Stage 6"),"⚠️ OVERDUE",""))</f>
        <v/>
      </c>
      <c r="AG22" s="25">
        <f>IF(A22="","",IF(R22=IFERROR(VLOOKUP(A22,Pipeline!$A:$E,5,FALSE),""),"✓","⚠️ SYNC ERROR"))</f>
        <v/>
      </c>
    </row>
    <row r="23" ht="18" customHeight="1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1" t="n"/>
      <c r="L23" s="20" t="n"/>
      <c r="M23" s="21" t="n"/>
      <c r="N23" s="20" t="n"/>
      <c r="O23" s="20" t="n"/>
      <c r="P23" s="20" t="n"/>
      <c r="Q23" s="21" t="n"/>
      <c r="R23" s="20" t="n"/>
      <c r="S23" s="21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4">
        <f>IF(M23="","",TODAY()-M23)</f>
        <v/>
      </c>
      <c r="AF23" s="25">
        <f>IF(Q23="","",IF(AND(Q23&lt;TODAY(),R23&lt;&gt;"Stage X",R23&lt;&gt;"Stage 6"),"⚠️ OVERDUE",""))</f>
        <v/>
      </c>
      <c r="AG23" s="25">
        <f>IF(A23="","",IF(R23=IFERROR(VLOOKUP(A23,Pipeline!$A:$E,5,FALSE),""),"✓","⚠️ SYNC ERROR"))</f>
        <v/>
      </c>
    </row>
    <row r="24" ht="18" customHeight="1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1" t="n"/>
      <c r="L24" s="20" t="n"/>
      <c r="M24" s="21" t="n"/>
      <c r="N24" s="20" t="n"/>
      <c r="O24" s="20" t="n"/>
      <c r="P24" s="20" t="n"/>
      <c r="Q24" s="21" t="n"/>
      <c r="R24" s="20" t="n"/>
      <c r="S24" s="21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4">
        <f>IF(M24="","",TODAY()-M24)</f>
        <v/>
      </c>
      <c r="AF24" s="25">
        <f>IF(Q24="","",IF(AND(Q24&lt;TODAY(),R24&lt;&gt;"Stage X",R24&lt;&gt;"Stage 6"),"⚠️ OVERDUE",""))</f>
        <v/>
      </c>
      <c r="AG24" s="25">
        <f>IF(A24="","",IF(R24=IFERROR(VLOOKUP(A24,Pipeline!$A:$E,5,FALSE),""),"✓","⚠️ SYNC ERROR"))</f>
        <v/>
      </c>
    </row>
    <row r="25" ht="18" customHeight="1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1" t="n"/>
      <c r="L25" s="20" t="n"/>
      <c r="M25" s="21" t="n"/>
      <c r="N25" s="20" t="n"/>
      <c r="O25" s="20" t="n"/>
      <c r="P25" s="20" t="n"/>
      <c r="Q25" s="21" t="n"/>
      <c r="R25" s="20" t="n"/>
      <c r="S25" s="21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4">
        <f>IF(M25="","",TODAY()-M25)</f>
        <v/>
      </c>
      <c r="AF25" s="25">
        <f>IF(Q25="","",IF(AND(Q25&lt;TODAY(),R25&lt;&gt;"Stage X",R25&lt;&gt;"Stage 6"),"⚠️ OVERDUE",""))</f>
        <v/>
      </c>
      <c r="AG25" s="25">
        <f>IF(A25="","",IF(R25=IFERROR(VLOOKUP(A25,Pipeline!$A:$E,5,FALSE),""),"✓","⚠️ SYNC ERROR"))</f>
        <v/>
      </c>
    </row>
    <row r="26" ht="18" customHeight="1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1" t="n"/>
      <c r="L26" s="20" t="n"/>
      <c r="M26" s="21" t="n"/>
      <c r="N26" s="20" t="n"/>
      <c r="O26" s="20" t="n"/>
      <c r="P26" s="20" t="n"/>
      <c r="Q26" s="21" t="n"/>
      <c r="R26" s="20" t="n"/>
      <c r="S26" s="21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4">
        <f>IF(M26="","",TODAY()-M26)</f>
        <v/>
      </c>
      <c r="AF26" s="25">
        <f>IF(Q26="","",IF(AND(Q26&lt;TODAY(),R26&lt;&gt;"Stage X",R26&lt;&gt;"Stage 6"),"⚠️ OVERDUE",""))</f>
        <v/>
      </c>
      <c r="AG26" s="25">
        <f>IF(A26="","",IF(R26=IFERROR(VLOOKUP(A26,Pipeline!$A:$E,5,FALSE),""),"✓","⚠️ SYNC ERROR"))</f>
        <v/>
      </c>
    </row>
    <row r="27" ht="18" customHeight="1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1" t="n"/>
      <c r="L27" s="20" t="n"/>
      <c r="M27" s="21" t="n"/>
      <c r="N27" s="20" t="n"/>
      <c r="O27" s="20" t="n"/>
      <c r="P27" s="20" t="n"/>
      <c r="Q27" s="21" t="n"/>
      <c r="R27" s="20" t="n"/>
      <c r="S27" s="21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4">
        <f>IF(M27="","",TODAY()-M27)</f>
        <v/>
      </c>
      <c r="AF27" s="25">
        <f>IF(Q27="","",IF(AND(Q27&lt;TODAY(),R27&lt;&gt;"Stage X",R27&lt;&gt;"Stage 6"),"⚠️ OVERDUE",""))</f>
        <v/>
      </c>
      <c r="AG27" s="25">
        <f>IF(A27="","",IF(R27=IFERROR(VLOOKUP(A27,Pipeline!$A:$E,5,FALSE),""),"✓","⚠️ SYNC ERROR"))</f>
        <v/>
      </c>
    </row>
    <row r="28" ht="18" customHeight="1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1" t="n"/>
      <c r="L28" s="20" t="n"/>
      <c r="M28" s="21" t="n"/>
      <c r="N28" s="20" t="n"/>
      <c r="O28" s="20" t="n"/>
      <c r="P28" s="20" t="n"/>
      <c r="Q28" s="21" t="n"/>
      <c r="R28" s="20" t="n"/>
      <c r="S28" s="21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4">
        <f>IF(M28="","",TODAY()-M28)</f>
        <v/>
      </c>
      <c r="AF28" s="25">
        <f>IF(Q28="","",IF(AND(Q28&lt;TODAY(),R28&lt;&gt;"Stage X",R28&lt;&gt;"Stage 6"),"⚠️ OVERDUE",""))</f>
        <v/>
      </c>
      <c r="AG28" s="25">
        <f>IF(A28="","",IF(R28=IFERROR(VLOOKUP(A28,Pipeline!$A:$E,5,FALSE),""),"✓","⚠️ SYNC ERROR"))</f>
        <v/>
      </c>
    </row>
    <row r="29" ht="18" customHeight="1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1" t="n"/>
      <c r="L29" s="20" t="n"/>
      <c r="M29" s="21" t="n"/>
      <c r="N29" s="20" t="n"/>
      <c r="O29" s="20" t="n"/>
      <c r="P29" s="20" t="n"/>
      <c r="Q29" s="21" t="n"/>
      <c r="R29" s="20" t="n"/>
      <c r="S29" s="21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4">
        <f>IF(M29="","",TODAY()-M29)</f>
        <v/>
      </c>
      <c r="AF29" s="25">
        <f>IF(Q29="","",IF(AND(Q29&lt;TODAY(),R29&lt;&gt;"Stage X",R29&lt;&gt;"Stage 6"),"⚠️ OVERDUE",""))</f>
        <v/>
      </c>
      <c r="AG29" s="25">
        <f>IF(A29="","",IF(R29=IFERROR(VLOOKUP(A29,Pipeline!$A:$E,5,FALSE),""),"✓","⚠️ SYNC ERROR"))</f>
        <v/>
      </c>
    </row>
    <row r="30" ht="18" customHeight="1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1" t="n"/>
      <c r="L30" s="20" t="n"/>
      <c r="M30" s="21" t="n"/>
      <c r="N30" s="20" t="n"/>
      <c r="O30" s="20" t="n"/>
      <c r="P30" s="20" t="n"/>
      <c r="Q30" s="21" t="n"/>
      <c r="R30" s="20" t="n"/>
      <c r="S30" s="21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4">
        <f>IF(M30="","",TODAY()-M30)</f>
        <v/>
      </c>
      <c r="AF30" s="25">
        <f>IF(Q30="","",IF(AND(Q30&lt;TODAY(),R30&lt;&gt;"Stage X",R30&lt;&gt;"Stage 6"),"⚠️ OVERDUE",""))</f>
        <v/>
      </c>
      <c r="AG30" s="25">
        <f>IF(A30="","",IF(R30=IFERROR(VLOOKUP(A30,Pipeline!$A:$E,5,FALSE),""),"✓","⚠️ SYNC ERROR"))</f>
        <v/>
      </c>
    </row>
    <row r="31" ht="18" customHeight="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1" t="n"/>
      <c r="L31" s="20" t="n"/>
      <c r="M31" s="21" t="n"/>
      <c r="N31" s="20" t="n"/>
      <c r="O31" s="20" t="n"/>
      <c r="P31" s="20" t="n"/>
      <c r="Q31" s="21" t="n"/>
      <c r="R31" s="20" t="n"/>
      <c r="S31" s="21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4">
        <f>IF(M31="","",TODAY()-M31)</f>
        <v/>
      </c>
      <c r="AF31" s="25">
        <f>IF(Q31="","",IF(AND(Q31&lt;TODAY(),R31&lt;&gt;"Stage X",R31&lt;&gt;"Stage 6"),"⚠️ OVERDUE",""))</f>
        <v/>
      </c>
      <c r="AG31" s="25">
        <f>IF(A31="","",IF(R31=IFERROR(VLOOKUP(A31,Pipeline!$A:$E,5,FALSE),""),"✓","⚠️ SYNC ERROR"))</f>
        <v/>
      </c>
    </row>
    <row r="32" ht="18" customHeight="1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1" t="n"/>
      <c r="L32" s="20" t="n"/>
      <c r="M32" s="21" t="n"/>
      <c r="N32" s="20" t="n"/>
      <c r="O32" s="20" t="n"/>
      <c r="P32" s="20" t="n"/>
      <c r="Q32" s="21" t="n"/>
      <c r="R32" s="20" t="n"/>
      <c r="S32" s="21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4">
        <f>IF(M32="","",TODAY()-M32)</f>
        <v/>
      </c>
      <c r="AF32" s="25">
        <f>IF(Q32="","",IF(AND(Q32&lt;TODAY(),R32&lt;&gt;"Stage X",R32&lt;&gt;"Stage 6"),"⚠️ OVERDUE",""))</f>
        <v/>
      </c>
      <c r="AG32" s="25">
        <f>IF(A32="","",IF(R32=IFERROR(VLOOKUP(A32,Pipeline!$A:$E,5,FALSE),""),"✓","⚠️ SYNC ERROR"))</f>
        <v/>
      </c>
    </row>
    <row r="33" ht="18" customHeight="1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1" t="n"/>
      <c r="L33" s="20" t="n"/>
      <c r="M33" s="21" t="n"/>
      <c r="N33" s="20" t="n"/>
      <c r="O33" s="20" t="n"/>
      <c r="P33" s="20" t="n"/>
      <c r="Q33" s="21" t="n"/>
      <c r="R33" s="20" t="n"/>
      <c r="S33" s="21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4">
        <f>IF(M33="","",TODAY()-M33)</f>
        <v/>
      </c>
      <c r="AF33" s="25">
        <f>IF(Q33="","",IF(AND(Q33&lt;TODAY(),R33&lt;&gt;"Stage X",R33&lt;&gt;"Stage 6"),"⚠️ OVERDUE",""))</f>
        <v/>
      </c>
      <c r="AG33" s="25">
        <f>IF(A33="","",IF(R33=IFERROR(VLOOKUP(A33,Pipeline!$A:$E,5,FALSE),""),"✓","⚠️ SYNC ERROR"))</f>
        <v/>
      </c>
    </row>
    <row r="34" ht="18" customHeight="1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1" t="n"/>
      <c r="L34" s="20" t="n"/>
      <c r="M34" s="21" t="n"/>
      <c r="N34" s="20" t="n"/>
      <c r="O34" s="20" t="n"/>
      <c r="P34" s="20" t="n"/>
      <c r="Q34" s="21" t="n"/>
      <c r="R34" s="20" t="n"/>
      <c r="S34" s="21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4">
        <f>IF(M34="","",TODAY()-M34)</f>
        <v/>
      </c>
      <c r="AF34" s="25">
        <f>IF(Q34="","",IF(AND(Q34&lt;TODAY(),R34&lt;&gt;"Stage X",R34&lt;&gt;"Stage 6"),"⚠️ OVERDUE",""))</f>
        <v/>
      </c>
      <c r="AG34" s="25">
        <f>IF(A34="","",IF(R34=IFERROR(VLOOKUP(A34,Pipeline!$A:$E,5,FALSE),""),"✓","⚠️ SYNC ERROR"))</f>
        <v/>
      </c>
    </row>
    <row r="35" ht="18" customHeight="1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1" t="n"/>
      <c r="L35" s="20" t="n"/>
      <c r="M35" s="21" t="n"/>
      <c r="N35" s="20" t="n"/>
      <c r="O35" s="20" t="n"/>
      <c r="P35" s="20" t="n"/>
      <c r="Q35" s="21" t="n"/>
      <c r="R35" s="20" t="n"/>
      <c r="S35" s="21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4">
        <f>IF(M35="","",TODAY()-M35)</f>
        <v/>
      </c>
      <c r="AF35" s="25">
        <f>IF(Q35="","",IF(AND(Q35&lt;TODAY(),R35&lt;&gt;"Stage X",R35&lt;&gt;"Stage 6"),"⚠️ OVERDUE",""))</f>
        <v/>
      </c>
      <c r="AG35" s="25">
        <f>IF(A35="","",IF(R35=IFERROR(VLOOKUP(A35,Pipeline!$A:$E,5,FALSE),""),"✓","⚠️ SYNC ERROR"))</f>
        <v/>
      </c>
    </row>
    <row r="36" ht="18" customHeight="1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1" t="n"/>
      <c r="L36" s="20" t="n"/>
      <c r="M36" s="21" t="n"/>
      <c r="N36" s="20" t="n"/>
      <c r="O36" s="20" t="n"/>
      <c r="P36" s="20" t="n"/>
      <c r="Q36" s="21" t="n"/>
      <c r="R36" s="20" t="n"/>
      <c r="S36" s="21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4">
        <f>IF(M36="","",TODAY()-M36)</f>
        <v/>
      </c>
      <c r="AF36" s="25">
        <f>IF(Q36="","",IF(AND(Q36&lt;TODAY(),R36&lt;&gt;"Stage X",R36&lt;&gt;"Stage 6"),"⚠️ OVERDUE",""))</f>
        <v/>
      </c>
      <c r="AG36" s="25">
        <f>IF(A36="","",IF(R36=IFERROR(VLOOKUP(A36,Pipeline!$A:$E,5,FALSE),""),"✓","⚠️ SYNC ERROR"))</f>
        <v/>
      </c>
    </row>
    <row r="37" ht="18" customHeight="1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1" t="n"/>
      <c r="L37" s="20" t="n"/>
      <c r="M37" s="21" t="n"/>
      <c r="N37" s="20" t="n"/>
      <c r="O37" s="20" t="n"/>
      <c r="P37" s="20" t="n"/>
      <c r="Q37" s="21" t="n"/>
      <c r="R37" s="20" t="n"/>
      <c r="S37" s="21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4">
        <f>IF(M37="","",TODAY()-M37)</f>
        <v/>
      </c>
      <c r="AF37" s="25">
        <f>IF(Q37="","",IF(AND(Q37&lt;TODAY(),R37&lt;&gt;"Stage X",R37&lt;&gt;"Stage 6"),"⚠️ OVERDUE",""))</f>
        <v/>
      </c>
      <c r="AG37" s="25">
        <f>IF(A37="","",IF(R37=IFERROR(VLOOKUP(A37,Pipeline!$A:$E,5,FALSE),""),"✓","⚠️ SYNC ERROR"))</f>
        <v/>
      </c>
    </row>
    <row r="38" ht="18" customHeight="1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1" t="n"/>
      <c r="L38" s="20" t="n"/>
      <c r="M38" s="21" t="n"/>
      <c r="N38" s="20" t="n"/>
      <c r="O38" s="20" t="n"/>
      <c r="P38" s="20" t="n"/>
      <c r="Q38" s="21" t="n"/>
      <c r="R38" s="20" t="n"/>
      <c r="S38" s="21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4">
        <f>IF(M38="","",TODAY()-M38)</f>
        <v/>
      </c>
      <c r="AF38" s="25">
        <f>IF(Q38="","",IF(AND(Q38&lt;TODAY(),R38&lt;&gt;"Stage X",R38&lt;&gt;"Stage 6"),"⚠️ OVERDUE",""))</f>
        <v/>
      </c>
      <c r="AG38" s="25">
        <f>IF(A38="","",IF(R38=IFERROR(VLOOKUP(A38,Pipeline!$A:$E,5,FALSE),""),"✓","⚠️ SYNC ERROR"))</f>
        <v/>
      </c>
    </row>
    <row r="39" ht="18" customHeight="1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1" t="n"/>
      <c r="L39" s="20" t="n"/>
      <c r="M39" s="21" t="n"/>
      <c r="N39" s="20" t="n"/>
      <c r="O39" s="20" t="n"/>
      <c r="P39" s="20" t="n"/>
      <c r="Q39" s="21" t="n"/>
      <c r="R39" s="20" t="n"/>
      <c r="S39" s="21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4">
        <f>IF(M39="","",TODAY()-M39)</f>
        <v/>
      </c>
      <c r="AF39" s="25">
        <f>IF(Q39="","",IF(AND(Q39&lt;TODAY(),R39&lt;&gt;"Stage X",R39&lt;&gt;"Stage 6"),"⚠️ OVERDUE",""))</f>
        <v/>
      </c>
      <c r="AG39" s="25">
        <f>IF(A39="","",IF(R39=IFERROR(VLOOKUP(A39,Pipeline!$A:$E,5,FALSE),""),"✓","⚠️ SYNC ERROR"))</f>
        <v/>
      </c>
    </row>
    <row r="40" ht="18" customHeight="1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1" t="n"/>
      <c r="L40" s="20" t="n"/>
      <c r="M40" s="21" t="n"/>
      <c r="N40" s="20" t="n"/>
      <c r="O40" s="20" t="n"/>
      <c r="P40" s="20" t="n"/>
      <c r="Q40" s="21" t="n"/>
      <c r="R40" s="20" t="n"/>
      <c r="S40" s="21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4">
        <f>IF(M40="","",TODAY()-M40)</f>
        <v/>
      </c>
      <c r="AF40" s="25">
        <f>IF(Q40="","",IF(AND(Q40&lt;TODAY(),R40&lt;&gt;"Stage X",R40&lt;&gt;"Stage 6"),"⚠️ OVERDUE",""))</f>
        <v/>
      </c>
      <c r="AG40" s="25">
        <f>IF(A40="","",IF(R40=IFERROR(VLOOKUP(A40,Pipeline!$A:$E,5,FALSE),""),"✓","⚠️ SYNC ERROR"))</f>
        <v/>
      </c>
    </row>
    <row r="41" ht="18" customHeight="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1" t="n"/>
      <c r="L41" s="20" t="n"/>
      <c r="M41" s="21" t="n"/>
      <c r="N41" s="20" t="n"/>
      <c r="O41" s="20" t="n"/>
      <c r="P41" s="20" t="n"/>
      <c r="Q41" s="21" t="n"/>
      <c r="R41" s="20" t="n"/>
      <c r="S41" s="21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4">
        <f>IF(M41="","",TODAY()-M41)</f>
        <v/>
      </c>
      <c r="AF41" s="25">
        <f>IF(Q41="","",IF(AND(Q41&lt;TODAY(),R41&lt;&gt;"Stage X",R41&lt;&gt;"Stage 6"),"⚠️ OVERDUE",""))</f>
        <v/>
      </c>
      <c r="AG41" s="25">
        <f>IF(A41="","",IF(R41=IFERROR(VLOOKUP(A41,Pipeline!$A:$E,5,FALSE),""),"✓","⚠️ SYNC ERROR"))</f>
        <v/>
      </c>
    </row>
    <row r="42" ht="18" customHeight="1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1" t="n"/>
      <c r="L42" s="20" t="n"/>
      <c r="M42" s="21" t="n"/>
      <c r="N42" s="20" t="n"/>
      <c r="O42" s="20" t="n"/>
      <c r="P42" s="20" t="n"/>
      <c r="Q42" s="21" t="n"/>
      <c r="R42" s="20" t="n"/>
      <c r="S42" s="21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4">
        <f>IF(M42="","",TODAY()-M42)</f>
        <v/>
      </c>
      <c r="AF42" s="25">
        <f>IF(Q42="","",IF(AND(Q42&lt;TODAY(),R42&lt;&gt;"Stage X",R42&lt;&gt;"Stage 6"),"⚠️ OVERDUE",""))</f>
        <v/>
      </c>
      <c r="AG42" s="25">
        <f>IF(A42="","",IF(R42=IFERROR(VLOOKUP(A42,Pipeline!$A:$E,5,FALSE),""),"✓","⚠️ SYNC ERROR"))</f>
        <v/>
      </c>
    </row>
    <row r="43" ht="18" customHeight="1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1" t="n"/>
      <c r="L43" s="20" t="n"/>
      <c r="M43" s="21" t="n"/>
      <c r="N43" s="20" t="n"/>
      <c r="O43" s="20" t="n"/>
      <c r="P43" s="20" t="n"/>
      <c r="Q43" s="21" t="n"/>
      <c r="R43" s="20" t="n"/>
      <c r="S43" s="21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4">
        <f>IF(M43="","",TODAY()-M43)</f>
        <v/>
      </c>
      <c r="AF43" s="25">
        <f>IF(Q43="","",IF(AND(Q43&lt;TODAY(),R43&lt;&gt;"Stage X",R43&lt;&gt;"Stage 6"),"⚠️ OVERDUE",""))</f>
        <v/>
      </c>
      <c r="AG43" s="25">
        <f>IF(A43="","",IF(R43=IFERROR(VLOOKUP(A43,Pipeline!$A:$E,5,FALSE),""),"✓","⚠️ SYNC ERROR"))</f>
        <v/>
      </c>
    </row>
    <row r="44" ht="18" customHeight="1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1" t="n"/>
      <c r="L44" s="20" t="n"/>
      <c r="M44" s="21" t="n"/>
      <c r="N44" s="20" t="n"/>
      <c r="O44" s="20" t="n"/>
      <c r="P44" s="20" t="n"/>
      <c r="Q44" s="21" t="n"/>
      <c r="R44" s="20" t="n"/>
      <c r="S44" s="21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4">
        <f>IF(M44="","",TODAY()-M44)</f>
        <v/>
      </c>
      <c r="AF44" s="25">
        <f>IF(Q44="","",IF(AND(Q44&lt;TODAY(),R44&lt;&gt;"Stage X",R44&lt;&gt;"Stage 6"),"⚠️ OVERDUE",""))</f>
        <v/>
      </c>
      <c r="AG44" s="25">
        <f>IF(A44="","",IF(R44=IFERROR(VLOOKUP(A44,Pipeline!$A:$E,5,FALSE),""),"✓","⚠️ SYNC ERROR"))</f>
        <v/>
      </c>
    </row>
    <row r="45" ht="18" customHeight="1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1" t="n"/>
      <c r="L45" s="20" t="n"/>
      <c r="M45" s="21" t="n"/>
      <c r="N45" s="20" t="n"/>
      <c r="O45" s="20" t="n"/>
      <c r="P45" s="20" t="n"/>
      <c r="Q45" s="21" t="n"/>
      <c r="R45" s="20" t="n"/>
      <c r="S45" s="21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4">
        <f>IF(M45="","",TODAY()-M45)</f>
        <v/>
      </c>
      <c r="AF45" s="25">
        <f>IF(Q45="","",IF(AND(Q45&lt;TODAY(),R45&lt;&gt;"Stage X",R45&lt;&gt;"Stage 6"),"⚠️ OVERDUE",""))</f>
        <v/>
      </c>
      <c r="AG45" s="25">
        <f>IF(A45="","",IF(R45=IFERROR(VLOOKUP(A45,Pipeline!$A:$E,5,FALSE),""),"✓","⚠️ SYNC ERROR"))</f>
        <v/>
      </c>
    </row>
    <row r="46" ht="18" customHeight="1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1" t="n"/>
      <c r="L46" s="20" t="n"/>
      <c r="M46" s="21" t="n"/>
      <c r="N46" s="20" t="n"/>
      <c r="O46" s="20" t="n"/>
      <c r="P46" s="20" t="n"/>
      <c r="Q46" s="21" t="n"/>
      <c r="R46" s="20" t="n"/>
      <c r="S46" s="21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4">
        <f>IF(M46="","",TODAY()-M46)</f>
        <v/>
      </c>
      <c r="AF46" s="25">
        <f>IF(Q46="","",IF(AND(Q46&lt;TODAY(),R46&lt;&gt;"Stage X",R46&lt;&gt;"Stage 6"),"⚠️ OVERDUE",""))</f>
        <v/>
      </c>
      <c r="AG46" s="25">
        <f>IF(A46="","",IF(R46=IFERROR(VLOOKUP(A46,Pipeline!$A:$E,5,FALSE),""),"✓","⚠️ SYNC ERROR"))</f>
        <v/>
      </c>
    </row>
    <row r="47" ht="18" customHeight="1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1" t="n"/>
      <c r="L47" s="20" t="n"/>
      <c r="M47" s="21" t="n"/>
      <c r="N47" s="20" t="n"/>
      <c r="O47" s="20" t="n"/>
      <c r="P47" s="20" t="n"/>
      <c r="Q47" s="21" t="n"/>
      <c r="R47" s="20" t="n"/>
      <c r="S47" s="21" t="n"/>
      <c r="T47" s="20" t="n"/>
      <c r="U47" s="20" t="n"/>
      <c r="V47" s="20" t="n"/>
      <c r="W47" s="20" t="n"/>
      <c r="X47" s="20" t="n"/>
      <c r="Y47" s="20" t="n"/>
      <c r="Z47" s="20" t="n"/>
      <c r="AA47" s="20" t="n"/>
      <c r="AB47" s="20" t="n"/>
      <c r="AC47" s="20" t="n"/>
      <c r="AD47" s="20" t="n"/>
      <c r="AE47" s="24">
        <f>IF(M47="","",TODAY()-M47)</f>
        <v/>
      </c>
      <c r="AF47" s="25">
        <f>IF(Q47="","",IF(AND(Q47&lt;TODAY(),R47&lt;&gt;"Stage X",R47&lt;&gt;"Stage 6"),"⚠️ OVERDUE",""))</f>
        <v/>
      </c>
      <c r="AG47" s="25">
        <f>IF(A47="","",IF(R47=IFERROR(VLOOKUP(A47,Pipeline!$A:$E,5,FALSE),""),"✓","⚠️ SYNC ERROR"))</f>
        <v/>
      </c>
    </row>
    <row r="48" ht="18" customHeight="1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1" t="n"/>
      <c r="L48" s="20" t="n"/>
      <c r="M48" s="21" t="n"/>
      <c r="N48" s="20" t="n"/>
      <c r="O48" s="20" t="n"/>
      <c r="P48" s="20" t="n"/>
      <c r="Q48" s="21" t="n"/>
      <c r="R48" s="20" t="n"/>
      <c r="S48" s="21" t="n"/>
      <c r="T48" s="20" t="n"/>
      <c r="U48" s="20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4">
        <f>IF(M48="","",TODAY()-M48)</f>
        <v/>
      </c>
      <c r="AF48" s="25">
        <f>IF(Q48="","",IF(AND(Q48&lt;TODAY(),R48&lt;&gt;"Stage X",R48&lt;&gt;"Stage 6"),"⚠️ OVERDUE",""))</f>
        <v/>
      </c>
      <c r="AG48" s="25">
        <f>IF(A48="","",IF(R48=IFERROR(VLOOKUP(A48,Pipeline!$A:$E,5,FALSE),""),"✓","⚠️ SYNC ERROR"))</f>
        <v/>
      </c>
    </row>
    <row r="49" ht="18" customHeight="1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1" t="n"/>
      <c r="L49" s="20" t="n"/>
      <c r="M49" s="21" t="n"/>
      <c r="N49" s="20" t="n"/>
      <c r="O49" s="20" t="n"/>
      <c r="P49" s="20" t="n"/>
      <c r="Q49" s="21" t="n"/>
      <c r="R49" s="20" t="n"/>
      <c r="S49" s="21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4">
        <f>IF(M49="","",TODAY()-M49)</f>
        <v/>
      </c>
      <c r="AF49" s="25">
        <f>IF(Q49="","",IF(AND(Q49&lt;TODAY(),R49&lt;&gt;"Stage X",R49&lt;&gt;"Stage 6"),"⚠️ OVERDUE",""))</f>
        <v/>
      </c>
      <c r="AG49" s="25">
        <f>IF(A49="","",IF(R49=IFERROR(VLOOKUP(A49,Pipeline!$A:$E,5,FALSE),""),"✓","⚠️ SYNC ERROR"))</f>
        <v/>
      </c>
    </row>
    <row r="50" ht="18" customHeight="1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1" t="n"/>
      <c r="L50" s="20" t="n"/>
      <c r="M50" s="21" t="n"/>
      <c r="N50" s="20" t="n"/>
      <c r="O50" s="20" t="n"/>
      <c r="P50" s="20" t="n"/>
      <c r="Q50" s="21" t="n"/>
      <c r="R50" s="20" t="n"/>
      <c r="S50" s="21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4">
        <f>IF(M50="","",TODAY()-M50)</f>
        <v/>
      </c>
      <c r="AF50" s="25">
        <f>IF(Q50="","",IF(AND(Q50&lt;TODAY(),R50&lt;&gt;"Stage X",R50&lt;&gt;"Stage 6"),"⚠️ OVERDUE",""))</f>
        <v/>
      </c>
      <c r="AG50" s="25">
        <f>IF(A50="","",IF(R50=IFERROR(VLOOKUP(A50,Pipeline!$A:$E,5,FALSE),""),"✓","⚠️ SYNC ERROR"))</f>
        <v/>
      </c>
    </row>
    <row r="51" ht="18" customHeight="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1" t="n"/>
      <c r="L51" s="20" t="n"/>
      <c r="M51" s="21" t="n"/>
      <c r="N51" s="20" t="n"/>
      <c r="O51" s="20" t="n"/>
      <c r="P51" s="20" t="n"/>
      <c r="Q51" s="21" t="n"/>
      <c r="R51" s="20" t="n"/>
      <c r="S51" s="21" t="n"/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4">
        <f>IF(M51="","",TODAY()-M51)</f>
        <v/>
      </c>
      <c r="AF51" s="25">
        <f>IF(Q51="","",IF(AND(Q51&lt;TODAY(),R51&lt;&gt;"Stage X",R51&lt;&gt;"Stage 6"),"⚠️ OVERDUE",""))</f>
        <v/>
      </c>
      <c r="AG51" s="25">
        <f>IF(A51="","",IF(R51=IFERROR(VLOOKUP(A51,Pipeline!$A:$E,5,FALSE),""),"✓","⚠️ SYNC ERROR"))</f>
        <v/>
      </c>
    </row>
    <row r="52" ht="18" customHeight="1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1" t="n"/>
      <c r="L52" s="20" t="n"/>
      <c r="M52" s="21" t="n"/>
      <c r="N52" s="20" t="n"/>
      <c r="O52" s="20" t="n"/>
      <c r="P52" s="20" t="n"/>
      <c r="Q52" s="21" t="n"/>
      <c r="R52" s="20" t="n"/>
      <c r="S52" s="21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4">
        <f>IF(M52="","",TODAY()-M52)</f>
        <v/>
      </c>
      <c r="AF52" s="25">
        <f>IF(Q52="","",IF(AND(Q52&lt;TODAY(),R52&lt;&gt;"Stage X",R52&lt;&gt;"Stage 6"),"⚠️ OVERDUE",""))</f>
        <v/>
      </c>
      <c r="AG52" s="25">
        <f>IF(A52="","",IF(R52=IFERROR(VLOOKUP(A52,Pipeline!$A:$E,5,FALSE),""),"✓","⚠️ SYNC ERROR"))</f>
        <v/>
      </c>
    </row>
    <row r="53" ht="18" customHeight="1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1" t="n"/>
      <c r="L53" s="20" t="n"/>
      <c r="M53" s="21" t="n"/>
      <c r="N53" s="20" t="n"/>
      <c r="O53" s="20" t="n"/>
      <c r="P53" s="20" t="n"/>
      <c r="Q53" s="21" t="n"/>
      <c r="R53" s="20" t="n"/>
      <c r="S53" s="21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4">
        <f>IF(M53="","",TODAY()-M53)</f>
        <v/>
      </c>
      <c r="AF53" s="25">
        <f>IF(Q53="","",IF(AND(Q53&lt;TODAY(),R53&lt;&gt;"Stage X",R53&lt;&gt;"Stage 6"),"⚠️ OVERDUE",""))</f>
        <v/>
      </c>
      <c r="AG53" s="25">
        <f>IF(A53="","",IF(R53=IFERROR(VLOOKUP(A53,Pipeline!$A:$E,5,FALSE),""),"✓","⚠️ SYNC ERROR"))</f>
        <v/>
      </c>
    </row>
    <row r="54" ht="18" customHeight="1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1" t="n"/>
      <c r="L54" s="20" t="n"/>
      <c r="M54" s="21" t="n"/>
      <c r="N54" s="20" t="n"/>
      <c r="O54" s="20" t="n"/>
      <c r="P54" s="20" t="n"/>
      <c r="Q54" s="21" t="n"/>
      <c r="R54" s="20" t="n"/>
      <c r="S54" s="21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4">
        <f>IF(M54="","",TODAY()-M54)</f>
        <v/>
      </c>
      <c r="AF54" s="25">
        <f>IF(Q54="","",IF(AND(Q54&lt;TODAY(),R54&lt;&gt;"Stage X",R54&lt;&gt;"Stage 6"),"⚠️ OVERDUE",""))</f>
        <v/>
      </c>
      <c r="AG54" s="25">
        <f>IF(A54="","",IF(R54=IFERROR(VLOOKUP(A54,Pipeline!$A:$E,5,FALSE),""),"✓","⚠️ SYNC ERROR"))</f>
        <v/>
      </c>
    </row>
    <row r="55" ht="18" customHeight="1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1" t="n"/>
      <c r="L55" s="20" t="n"/>
      <c r="M55" s="21" t="n"/>
      <c r="N55" s="20" t="n"/>
      <c r="O55" s="20" t="n"/>
      <c r="P55" s="20" t="n"/>
      <c r="Q55" s="21" t="n"/>
      <c r="R55" s="20" t="n"/>
      <c r="S55" s="21" t="n"/>
      <c r="T55" s="20" t="n"/>
      <c r="U55" s="20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4">
        <f>IF(M55="","",TODAY()-M55)</f>
        <v/>
      </c>
      <c r="AF55" s="25">
        <f>IF(Q55="","",IF(AND(Q55&lt;TODAY(),R55&lt;&gt;"Stage X",R55&lt;&gt;"Stage 6"),"⚠️ OVERDUE",""))</f>
        <v/>
      </c>
      <c r="AG55" s="25">
        <f>IF(A55="","",IF(R55=IFERROR(VLOOKUP(A55,Pipeline!$A:$E,5,FALSE),""),"✓","⚠️ SYNC ERROR"))</f>
        <v/>
      </c>
    </row>
    <row r="56" ht="18" customHeight="1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1" t="n"/>
      <c r="L56" s="20" t="n"/>
      <c r="M56" s="21" t="n"/>
      <c r="N56" s="20" t="n"/>
      <c r="O56" s="20" t="n"/>
      <c r="P56" s="20" t="n"/>
      <c r="Q56" s="21" t="n"/>
      <c r="R56" s="20" t="n"/>
      <c r="S56" s="21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4">
        <f>IF(M56="","",TODAY()-M56)</f>
        <v/>
      </c>
      <c r="AF56" s="25">
        <f>IF(Q56="","",IF(AND(Q56&lt;TODAY(),R56&lt;&gt;"Stage X",R56&lt;&gt;"Stage 6"),"⚠️ OVERDUE",""))</f>
        <v/>
      </c>
      <c r="AG56" s="25">
        <f>IF(A56="","",IF(R56=IFERROR(VLOOKUP(A56,Pipeline!$A:$E,5,FALSE),""),"✓","⚠️ SYNC ERROR"))</f>
        <v/>
      </c>
    </row>
    <row r="57" ht="18" customHeight="1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1" t="n"/>
      <c r="L57" s="20" t="n"/>
      <c r="M57" s="21" t="n"/>
      <c r="N57" s="20" t="n"/>
      <c r="O57" s="20" t="n"/>
      <c r="P57" s="20" t="n"/>
      <c r="Q57" s="21" t="n"/>
      <c r="R57" s="20" t="n"/>
      <c r="S57" s="21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4">
        <f>IF(M57="","",TODAY()-M57)</f>
        <v/>
      </c>
      <c r="AF57" s="25">
        <f>IF(Q57="","",IF(AND(Q57&lt;TODAY(),R57&lt;&gt;"Stage X",R57&lt;&gt;"Stage 6"),"⚠️ OVERDUE",""))</f>
        <v/>
      </c>
      <c r="AG57" s="25">
        <f>IF(A57="","",IF(R57=IFERROR(VLOOKUP(A57,Pipeline!$A:$E,5,FALSE),""),"✓","⚠️ SYNC ERROR"))</f>
        <v/>
      </c>
    </row>
    <row r="58" ht="18" customHeight="1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1" t="n"/>
      <c r="L58" s="20" t="n"/>
      <c r="M58" s="21" t="n"/>
      <c r="N58" s="20" t="n"/>
      <c r="O58" s="20" t="n"/>
      <c r="P58" s="20" t="n"/>
      <c r="Q58" s="21" t="n"/>
      <c r="R58" s="20" t="n"/>
      <c r="S58" s="21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4">
        <f>IF(M58="","",TODAY()-M58)</f>
        <v/>
      </c>
      <c r="AF58" s="25">
        <f>IF(Q58="","",IF(AND(Q58&lt;TODAY(),R58&lt;&gt;"Stage X",R58&lt;&gt;"Stage 6"),"⚠️ OVERDUE",""))</f>
        <v/>
      </c>
      <c r="AG58" s="25">
        <f>IF(A58="","",IF(R58=IFERROR(VLOOKUP(A58,Pipeline!$A:$E,5,FALSE),""),"✓","⚠️ SYNC ERROR"))</f>
        <v/>
      </c>
    </row>
    <row r="59" ht="18" customHeight="1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1" t="n"/>
      <c r="L59" s="20" t="n"/>
      <c r="M59" s="21" t="n"/>
      <c r="N59" s="20" t="n"/>
      <c r="O59" s="20" t="n"/>
      <c r="P59" s="20" t="n"/>
      <c r="Q59" s="21" t="n"/>
      <c r="R59" s="20" t="n"/>
      <c r="S59" s="21" t="n"/>
      <c r="T59" s="20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4">
        <f>IF(M59="","",TODAY()-M59)</f>
        <v/>
      </c>
      <c r="AF59" s="25">
        <f>IF(Q59="","",IF(AND(Q59&lt;TODAY(),R59&lt;&gt;"Stage X",R59&lt;&gt;"Stage 6"),"⚠️ OVERDUE",""))</f>
        <v/>
      </c>
      <c r="AG59" s="25">
        <f>IF(A59="","",IF(R59=IFERROR(VLOOKUP(A59,Pipeline!$A:$E,5,FALSE),""),"✓","⚠️ SYNC ERROR"))</f>
        <v/>
      </c>
    </row>
    <row r="60" ht="18" customHeight="1">
      <c r="A60" s="20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1" t="n"/>
      <c r="L60" s="20" t="n"/>
      <c r="M60" s="21" t="n"/>
      <c r="N60" s="20" t="n"/>
      <c r="O60" s="20" t="n"/>
      <c r="P60" s="20" t="n"/>
      <c r="Q60" s="21" t="n"/>
      <c r="R60" s="20" t="n"/>
      <c r="S60" s="21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4">
        <f>IF(M60="","",TODAY()-M60)</f>
        <v/>
      </c>
      <c r="AF60" s="25">
        <f>IF(Q60="","",IF(AND(Q60&lt;TODAY(),R60&lt;&gt;"Stage X",R60&lt;&gt;"Stage 6"),"⚠️ OVERDUE",""))</f>
        <v/>
      </c>
      <c r="AG60" s="25">
        <f>IF(A60="","",IF(R60=IFERROR(VLOOKUP(A60,Pipeline!$A:$E,5,FALSE),""),"✓","⚠️ SYNC ERROR"))</f>
        <v/>
      </c>
    </row>
    <row r="61" ht="18" customHeight="1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1" t="n"/>
      <c r="L61" s="20" t="n"/>
      <c r="M61" s="21" t="n"/>
      <c r="N61" s="20" t="n"/>
      <c r="O61" s="20" t="n"/>
      <c r="P61" s="20" t="n"/>
      <c r="Q61" s="21" t="n"/>
      <c r="R61" s="20" t="n"/>
      <c r="S61" s="21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4">
        <f>IF(M61="","",TODAY()-M61)</f>
        <v/>
      </c>
      <c r="AF61" s="25">
        <f>IF(Q61="","",IF(AND(Q61&lt;TODAY(),R61&lt;&gt;"Stage X",R61&lt;&gt;"Stage 6"),"⚠️ OVERDUE",""))</f>
        <v/>
      </c>
      <c r="AG61" s="25">
        <f>IF(A61="","",IF(R61=IFERROR(VLOOKUP(A61,Pipeline!$A:$E,5,FALSE),""),"✓","⚠️ SYNC ERROR"))</f>
        <v/>
      </c>
    </row>
    <row r="62" ht="18" customHeight="1">
      <c r="A62" s="20" t="n"/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1" t="n"/>
      <c r="L62" s="20" t="n"/>
      <c r="M62" s="21" t="n"/>
      <c r="N62" s="20" t="n"/>
      <c r="O62" s="20" t="n"/>
      <c r="P62" s="20" t="n"/>
      <c r="Q62" s="21" t="n"/>
      <c r="R62" s="20" t="n"/>
      <c r="S62" s="21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4">
        <f>IF(M62="","",TODAY()-M62)</f>
        <v/>
      </c>
      <c r="AF62" s="25">
        <f>IF(Q62="","",IF(AND(Q62&lt;TODAY(),R62&lt;&gt;"Stage X",R62&lt;&gt;"Stage 6"),"⚠️ OVERDUE",""))</f>
        <v/>
      </c>
      <c r="AG62" s="25">
        <f>IF(A62="","",IF(R62=IFERROR(VLOOKUP(A62,Pipeline!$A:$E,5,FALSE),""),"✓","⚠️ SYNC ERROR"))</f>
        <v/>
      </c>
    </row>
    <row r="63" ht="18" customHeight="1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1" t="n"/>
      <c r="L63" s="20" t="n"/>
      <c r="M63" s="21" t="n"/>
      <c r="N63" s="20" t="n"/>
      <c r="O63" s="20" t="n"/>
      <c r="P63" s="20" t="n"/>
      <c r="Q63" s="21" t="n"/>
      <c r="R63" s="20" t="n"/>
      <c r="S63" s="21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4">
        <f>IF(M63="","",TODAY()-M63)</f>
        <v/>
      </c>
      <c r="AF63" s="25">
        <f>IF(Q63="","",IF(AND(Q63&lt;TODAY(),R63&lt;&gt;"Stage X",R63&lt;&gt;"Stage 6"),"⚠️ OVERDUE",""))</f>
        <v/>
      </c>
      <c r="AG63" s="25">
        <f>IF(A63="","",IF(R63=IFERROR(VLOOKUP(A63,Pipeline!$A:$E,5,FALSE),""),"✓","⚠️ SYNC ERROR"))</f>
        <v/>
      </c>
    </row>
    <row r="64" ht="18" customHeight="1">
      <c r="A64" s="20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1" t="n"/>
      <c r="L64" s="20" t="n"/>
      <c r="M64" s="21" t="n"/>
      <c r="N64" s="20" t="n"/>
      <c r="O64" s="20" t="n"/>
      <c r="P64" s="20" t="n"/>
      <c r="Q64" s="21" t="n"/>
      <c r="R64" s="20" t="n"/>
      <c r="S64" s="21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4">
        <f>IF(M64="","",TODAY()-M64)</f>
        <v/>
      </c>
      <c r="AF64" s="25">
        <f>IF(Q64="","",IF(AND(Q64&lt;TODAY(),R64&lt;&gt;"Stage X",R64&lt;&gt;"Stage 6"),"⚠️ OVERDUE",""))</f>
        <v/>
      </c>
      <c r="AG64" s="25">
        <f>IF(A64="","",IF(R64=IFERROR(VLOOKUP(A64,Pipeline!$A:$E,5,FALSE),""),"✓","⚠️ SYNC ERROR"))</f>
        <v/>
      </c>
    </row>
    <row r="65" ht="18" customHeight="1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1" t="n"/>
      <c r="L65" s="20" t="n"/>
      <c r="M65" s="21" t="n"/>
      <c r="N65" s="20" t="n"/>
      <c r="O65" s="20" t="n"/>
      <c r="P65" s="20" t="n"/>
      <c r="Q65" s="21" t="n"/>
      <c r="R65" s="20" t="n"/>
      <c r="S65" s="21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  <c r="AE65" s="24">
        <f>IF(M65="","",TODAY()-M65)</f>
        <v/>
      </c>
      <c r="AF65" s="25">
        <f>IF(Q65="","",IF(AND(Q65&lt;TODAY(),R65&lt;&gt;"Stage X",R65&lt;&gt;"Stage 6"),"⚠️ OVERDUE",""))</f>
        <v/>
      </c>
      <c r="AG65" s="25">
        <f>IF(A65="","",IF(R65=IFERROR(VLOOKUP(A65,Pipeline!$A:$E,5,FALSE),""),"✓","⚠️ SYNC ERROR"))</f>
        <v/>
      </c>
    </row>
    <row r="66" ht="18" customHeight="1">
      <c r="A66" s="20" t="n"/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1" t="n"/>
      <c r="L66" s="20" t="n"/>
      <c r="M66" s="21" t="n"/>
      <c r="N66" s="20" t="n"/>
      <c r="O66" s="20" t="n"/>
      <c r="P66" s="20" t="n"/>
      <c r="Q66" s="21" t="n"/>
      <c r="R66" s="20" t="n"/>
      <c r="S66" s="21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4">
        <f>IF(M66="","",TODAY()-M66)</f>
        <v/>
      </c>
      <c r="AF66" s="25">
        <f>IF(Q66="","",IF(AND(Q66&lt;TODAY(),R66&lt;&gt;"Stage X",R66&lt;&gt;"Stage 6"),"⚠️ OVERDUE",""))</f>
        <v/>
      </c>
      <c r="AG66" s="25">
        <f>IF(A66="","",IF(R66=IFERROR(VLOOKUP(A66,Pipeline!$A:$E,5,FALSE),""),"✓","⚠️ SYNC ERROR"))</f>
        <v/>
      </c>
    </row>
    <row r="67" ht="18" customHeight="1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1" t="n"/>
      <c r="L67" s="20" t="n"/>
      <c r="M67" s="21" t="n"/>
      <c r="N67" s="20" t="n"/>
      <c r="O67" s="20" t="n"/>
      <c r="P67" s="20" t="n"/>
      <c r="Q67" s="21" t="n"/>
      <c r="R67" s="20" t="n"/>
      <c r="S67" s="21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4">
        <f>IF(M67="","",TODAY()-M67)</f>
        <v/>
      </c>
      <c r="AF67" s="25">
        <f>IF(Q67="","",IF(AND(Q67&lt;TODAY(),R67&lt;&gt;"Stage X",R67&lt;&gt;"Stage 6"),"⚠️ OVERDUE",""))</f>
        <v/>
      </c>
      <c r="AG67" s="25">
        <f>IF(A67="","",IF(R67=IFERROR(VLOOKUP(A67,Pipeline!$A:$E,5,FALSE),""),"✓","⚠️ SYNC ERROR"))</f>
        <v/>
      </c>
    </row>
    <row r="68" ht="18" customHeight="1">
      <c r="A68" s="20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1" t="n"/>
      <c r="L68" s="20" t="n"/>
      <c r="M68" s="21" t="n"/>
      <c r="N68" s="20" t="n"/>
      <c r="O68" s="20" t="n"/>
      <c r="P68" s="20" t="n"/>
      <c r="Q68" s="21" t="n"/>
      <c r="R68" s="20" t="n"/>
      <c r="S68" s="21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4">
        <f>IF(M68="","",TODAY()-M68)</f>
        <v/>
      </c>
      <c r="AF68" s="25">
        <f>IF(Q68="","",IF(AND(Q68&lt;TODAY(),R68&lt;&gt;"Stage X",R68&lt;&gt;"Stage 6"),"⚠️ OVERDUE",""))</f>
        <v/>
      </c>
      <c r="AG68" s="25">
        <f>IF(A68="","",IF(R68=IFERROR(VLOOKUP(A68,Pipeline!$A:$E,5,FALSE),""),"✓","⚠️ SYNC ERROR"))</f>
        <v/>
      </c>
    </row>
    <row r="69" ht="18" customHeight="1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1" t="n"/>
      <c r="L69" s="20" t="n"/>
      <c r="M69" s="21" t="n"/>
      <c r="N69" s="20" t="n"/>
      <c r="O69" s="20" t="n"/>
      <c r="P69" s="20" t="n"/>
      <c r="Q69" s="21" t="n"/>
      <c r="R69" s="20" t="n"/>
      <c r="S69" s="21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4">
        <f>IF(M69="","",TODAY()-M69)</f>
        <v/>
      </c>
      <c r="AF69" s="25">
        <f>IF(Q69="","",IF(AND(Q69&lt;TODAY(),R69&lt;&gt;"Stage X",R69&lt;&gt;"Stage 6"),"⚠️ OVERDUE",""))</f>
        <v/>
      </c>
      <c r="AG69" s="25">
        <f>IF(A69="","",IF(R69=IFERROR(VLOOKUP(A69,Pipeline!$A:$E,5,FALSE),""),"✓","⚠️ SYNC ERROR"))</f>
        <v/>
      </c>
    </row>
    <row r="70" ht="18" customHeight="1">
      <c r="A70" s="20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1" t="n"/>
      <c r="L70" s="20" t="n"/>
      <c r="M70" s="21" t="n"/>
      <c r="N70" s="20" t="n"/>
      <c r="O70" s="20" t="n"/>
      <c r="P70" s="20" t="n"/>
      <c r="Q70" s="21" t="n"/>
      <c r="R70" s="20" t="n"/>
      <c r="S70" s="21" t="n"/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4">
        <f>IF(M70="","",TODAY()-M70)</f>
        <v/>
      </c>
      <c r="AF70" s="25">
        <f>IF(Q70="","",IF(AND(Q70&lt;TODAY(),R70&lt;&gt;"Stage X",R70&lt;&gt;"Stage 6"),"⚠️ OVERDUE",""))</f>
        <v/>
      </c>
      <c r="AG70" s="25">
        <f>IF(A70="","",IF(R70=IFERROR(VLOOKUP(A70,Pipeline!$A:$E,5,FALSE),""),"✓","⚠️ SYNC ERROR"))</f>
        <v/>
      </c>
    </row>
    <row r="71" ht="18" customHeight="1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1" t="n"/>
      <c r="L71" s="20" t="n"/>
      <c r="M71" s="21" t="n"/>
      <c r="N71" s="20" t="n"/>
      <c r="O71" s="20" t="n"/>
      <c r="P71" s="20" t="n"/>
      <c r="Q71" s="21" t="n"/>
      <c r="R71" s="20" t="n"/>
      <c r="S71" s="21" t="n"/>
      <c r="T71" s="20" t="n"/>
      <c r="U71" s="20" t="n"/>
      <c r="V71" s="20" t="n"/>
      <c r="W71" s="20" t="n"/>
      <c r="X71" s="20" t="n"/>
      <c r="Y71" s="20" t="n"/>
      <c r="Z71" s="20" t="n"/>
      <c r="AA71" s="20" t="n"/>
      <c r="AB71" s="20" t="n"/>
      <c r="AC71" s="20" t="n"/>
      <c r="AD71" s="20" t="n"/>
      <c r="AE71" s="24">
        <f>IF(M71="","",TODAY()-M71)</f>
        <v/>
      </c>
      <c r="AF71" s="25">
        <f>IF(Q71="","",IF(AND(Q71&lt;TODAY(),R71&lt;&gt;"Stage X",R71&lt;&gt;"Stage 6"),"⚠️ OVERDUE",""))</f>
        <v/>
      </c>
      <c r="AG71" s="25">
        <f>IF(A71="","",IF(R71=IFERROR(VLOOKUP(A71,Pipeline!$A:$E,5,FALSE),""),"✓","⚠️ SYNC ERROR"))</f>
        <v/>
      </c>
    </row>
    <row r="72" ht="18" customHeight="1">
      <c r="A72" s="20" t="n"/>
      <c r="B72" s="20" t="n"/>
      <c r="C72" s="20" t="n"/>
      <c r="D72" s="20" t="n"/>
      <c r="E72" s="20" t="n"/>
      <c r="F72" s="20" t="n"/>
      <c r="G72" s="20" t="n"/>
      <c r="H72" s="20" t="n"/>
      <c r="I72" s="20" t="n"/>
      <c r="J72" s="20" t="n"/>
      <c r="K72" s="21" t="n"/>
      <c r="L72" s="20" t="n"/>
      <c r="M72" s="21" t="n"/>
      <c r="N72" s="20" t="n"/>
      <c r="O72" s="20" t="n"/>
      <c r="P72" s="20" t="n"/>
      <c r="Q72" s="21" t="n"/>
      <c r="R72" s="20" t="n"/>
      <c r="S72" s="21" t="n"/>
      <c r="T72" s="20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4">
        <f>IF(M72="","",TODAY()-M72)</f>
        <v/>
      </c>
      <c r="AF72" s="25">
        <f>IF(Q72="","",IF(AND(Q72&lt;TODAY(),R72&lt;&gt;"Stage X",R72&lt;&gt;"Stage 6"),"⚠️ OVERDUE",""))</f>
        <v/>
      </c>
      <c r="AG72" s="25">
        <f>IF(A72="","",IF(R72=IFERROR(VLOOKUP(A72,Pipeline!$A:$E,5,FALSE),""),"✓","⚠️ SYNC ERROR"))</f>
        <v/>
      </c>
    </row>
    <row r="73" ht="18" customHeight="1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1" t="n"/>
      <c r="L73" s="20" t="n"/>
      <c r="M73" s="21" t="n"/>
      <c r="N73" s="20" t="n"/>
      <c r="O73" s="20" t="n"/>
      <c r="P73" s="20" t="n"/>
      <c r="Q73" s="21" t="n"/>
      <c r="R73" s="20" t="n"/>
      <c r="S73" s="21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4">
        <f>IF(M73="","",TODAY()-M73)</f>
        <v/>
      </c>
      <c r="AF73" s="25">
        <f>IF(Q73="","",IF(AND(Q73&lt;TODAY(),R73&lt;&gt;"Stage X",R73&lt;&gt;"Stage 6"),"⚠️ OVERDUE",""))</f>
        <v/>
      </c>
      <c r="AG73" s="25">
        <f>IF(A73="","",IF(R73=IFERROR(VLOOKUP(A73,Pipeline!$A:$E,5,FALSE),""),"✓","⚠️ SYNC ERROR"))</f>
        <v/>
      </c>
    </row>
    <row r="74" ht="18" customHeight="1">
      <c r="A74" s="20" t="n"/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1" t="n"/>
      <c r="L74" s="20" t="n"/>
      <c r="M74" s="21" t="n"/>
      <c r="N74" s="20" t="n"/>
      <c r="O74" s="20" t="n"/>
      <c r="P74" s="20" t="n"/>
      <c r="Q74" s="21" t="n"/>
      <c r="R74" s="20" t="n"/>
      <c r="S74" s="21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4">
        <f>IF(M74="","",TODAY()-M74)</f>
        <v/>
      </c>
      <c r="AF74" s="25">
        <f>IF(Q74="","",IF(AND(Q74&lt;TODAY(),R74&lt;&gt;"Stage X",R74&lt;&gt;"Stage 6"),"⚠️ OVERDUE",""))</f>
        <v/>
      </c>
      <c r="AG74" s="25">
        <f>IF(A74="","",IF(R74=IFERROR(VLOOKUP(A74,Pipeline!$A:$E,5,FALSE),""),"✓","⚠️ SYNC ERROR"))</f>
        <v/>
      </c>
    </row>
    <row r="75" ht="18" customHeight="1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1" t="n"/>
      <c r="L75" s="20" t="n"/>
      <c r="M75" s="21" t="n"/>
      <c r="N75" s="20" t="n"/>
      <c r="O75" s="20" t="n"/>
      <c r="P75" s="20" t="n"/>
      <c r="Q75" s="21" t="n"/>
      <c r="R75" s="20" t="n"/>
      <c r="S75" s="21" t="n"/>
      <c r="T75" s="20" t="n"/>
      <c r="U75" s="20" t="n"/>
      <c r="V75" s="20" t="n"/>
      <c r="W75" s="20" t="n"/>
      <c r="X75" s="20" t="n"/>
      <c r="Y75" s="20" t="n"/>
      <c r="Z75" s="20" t="n"/>
      <c r="AA75" s="20" t="n"/>
      <c r="AB75" s="20" t="n"/>
      <c r="AC75" s="20" t="n"/>
      <c r="AD75" s="20" t="n"/>
      <c r="AE75" s="24">
        <f>IF(M75="","",TODAY()-M75)</f>
        <v/>
      </c>
      <c r="AF75" s="25">
        <f>IF(Q75="","",IF(AND(Q75&lt;TODAY(),R75&lt;&gt;"Stage X",R75&lt;&gt;"Stage 6"),"⚠️ OVERDUE",""))</f>
        <v/>
      </c>
      <c r="AG75" s="25">
        <f>IF(A75="","",IF(R75=IFERROR(VLOOKUP(A75,Pipeline!$A:$E,5,FALSE),""),"✓","⚠️ SYNC ERROR"))</f>
        <v/>
      </c>
    </row>
    <row r="76" ht="18" customHeight="1">
      <c r="A76" s="20" t="n"/>
      <c r="B76" s="20" t="n"/>
      <c r="C76" s="20" t="n"/>
      <c r="D76" s="20" t="n"/>
      <c r="E76" s="20" t="n"/>
      <c r="F76" s="20" t="n"/>
      <c r="G76" s="20" t="n"/>
      <c r="H76" s="20" t="n"/>
      <c r="I76" s="20" t="n"/>
      <c r="J76" s="20" t="n"/>
      <c r="K76" s="21" t="n"/>
      <c r="L76" s="20" t="n"/>
      <c r="M76" s="21" t="n"/>
      <c r="N76" s="20" t="n"/>
      <c r="O76" s="20" t="n"/>
      <c r="P76" s="20" t="n"/>
      <c r="Q76" s="21" t="n"/>
      <c r="R76" s="20" t="n"/>
      <c r="S76" s="21" t="n"/>
      <c r="T76" s="20" t="n"/>
      <c r="U76" s="20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4">
        <f>IF(M76="","",TODAY()-M76)</f>
        <v/>
      </c>
      <c r="AF76" s="25">
        <f>IF(Q76="","",IF(AND(Q76&lt;TODAY(),R76&lt;&gt;"Stage X",R76&lt;&gt;"Stage 6"),"⚠️ OVERDUE",""))</f>
        <v/>
      </c>
      <c r="AG76" s="25">
        <f>IF(A76="","",IF(R76=IFERROR(VLOOKUP(A76,Pipeline!$A:$E,5,FALSE),""),"✓","⚠️ SYNC ERROR"))</f>
        <v/>
      </c>
    </row>
    <row r="77" ht="18" customHeight="1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1" t="n"/>
      <c r="L77" s="20" t="n"/>
      <c r="M77" s="21" t="n"/>
      <c r="N77" s="20" t="n"/>
      <c r="O77" s="20" t="n"/>
      <c r="P77" s="20" t="n"/>
      <c r="Q77" s="21" t="n"/>
      <c r="R77" s="20" t="n"/>
      <c r="S77" s="21" t="n"/>
      <c r="T77" s="20" t="n"/>
      <c r="U77" s="20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  <c r="AE77" s="24">
        <f>IF(M77="","",TODAY()-M77)</f>
        <v/>
      </c>
      <c r="AF77" s="25">
        <f>IF(Q77="","",IF(AND(Q77&lt;TODAY(),R77&lt;&gt;"Stage X",R77&lt;&gt;"Stage 6"),"⚠️ OVERDUE",""))</f>
        <v/>
      </c>
      <c r="AG77" s="25">
        <f>IF(A77="","",IF(R77=IFERROR(VLOOKUP(A77,Pipeline!$A:$E,5,FALSE),""),"✓","⚠️ SYNC ERROR"))</f>
        <v/>
      </c>
    </row>
    <row r="78" ht="18" customHeight="1">
      <c r="A78" s="20" t="n"/>
      <c r="B78" s="20" t="n"/>
      <c r="C78" s="20" t="n"/>
      <c r="D78" s="20" t="n"/>
      <c r="E78" s="20" t="n"/>
      <c r="F78" s="20" t="n"/>
      <c r="G78" s="20" t="n"/>
      <c r="H78" s="20" t="n"/>
      <c r="I78" s="20" t="n"/>
      <c r="J78" s="20" t="n"/>
      <c r="K78" s="21" t="n"/>
      <c r="L78" s="20" t="n"/>
      <c r="M78" s="21" t="n"/>
      <c r="N78" s="20" t="n"/>
      <c r="O78" s="20" t="n"/>
      <c r="P78" s="20" t="n"/>
      <c r="Q78" s="21" t="n"/>
      <c r="R78" s="20" t="n"/>
      <c r="S78" s="21" t="n"/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4">
        <f>IF(M78="","",TODAY()-M78)</f>
        <v/>
      </c>
      <c r="AF78" s="25">
        <f>IF(Q78="","",IF(AND(Q78&lt;TODAY(),R78&lt;&gt;"Stage X",R78&lt;&gt;"Stage 6"),"⚠️ OVERDUE",""))</f>
        <v/>
      </c>
      <c r="AG78" s="25">
        <f>IF(A78="","",IF(R78=IFERROR(VLOOKUP(A78,Pipeline!$A:$E,5,FALSE),""),"✓","⚠️ SYNC ERROR"))</f>
        <v/>
      </c>
    </row>
    <row r="79" ht="18" customHeight="1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1" t="n"/>
      <c r="L79" s="20" t="n"/>
      <c r="M79" s="21" t="n"/>
      <c r="N79" s="20" t="n"/>
      <c r="O79" s="20" t="n"/>
      <c r="P79" s="20" t="n"/>
      <c r="Q79" s="21" t="n"/>
      <c r="R79" s="20" t="n"/>
      <c r="S79" s="21" t="n"/>
      <c r="T79" s="20" t="n"/>
      <c r="U79" s="20" t="n"/>
      <c r="V79" s="20" t="n"/>
      <c r="W79" s="20" t="n"/>
      <c r="X79" s="20" t="n"/>
      <c r="Y79" s="20" t="n"/>
      <c r="Z79" s="20" t="n"/>
      <c r="AA79" s="20" t="n"/>
      <c r="AB79" s="20" t="n"/>
      <c r="AC79" s="20" t="n"/>
      <c r="AD79" s="20" t="n"/>
      <c r="AE79" s="24">
        <f>IF(M79="","",TODAY()-M79)</f>
        <v/>
      </c>
      <c r="AF79" s="25">
        <f>IF(Q79="","",IF(AND(Q79&lt;TODAY(),R79&lt;&gt;"Stage X",R79&lt;&gt;"Stage 6"),"⚠️ OVERDUE",""))</f>
        <v/>
      </c>
      <c r="AG79" s="25">
        <f>IF(A79="","",IF(R79=IFERROR(VLOOKUP(A79,Pipeline!$A:$E,5,FALSE),""),"✓","⚠️ SYNC ERROR"))</f>
        <v/>
      </c>
    </row>
    <row r="80" ht="18" customHeight="1">
      <c r="A80" s="20" t="n"/>
      <c r="B80" s="20" t="n"/>
      <c r="C80" s="20" t="n"/>
      <c r="D80" s="20" t="n"/>
      <c r="E80" s="20" t="n"/>
      <c r="F80" s="20" t="n"/>
      <c r="G80" s="20" t="n"/>
      <c r="H80" s="20" t="n"/>
      <c r="I80" s="20" t="n"/>
      <c r="J80" s="20" t="n"/>
      <c r="K80" s="21" t="n"/>
      <c r="L80" s="20" t="n"/>
      <c r="M80" s="21" t="n"/>
      <c r="N80" s="20" t="n"/>
      <c r="O80" s="20" t="n"/>
      <c r="P80" s="20" t="n"/>
      <c r="Q80" s="21" t="n"/>
      <c r="R80" s="20" t="n"/>
      <c r="S80" s="21" t="n"/>
      <c r="T80" s="20" t="n"/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4">
        <f>IF(M80="","",TODAY()-M80)</f>
        <v/>
      </c>
      <c r="AF80" s="25">
        <f>IF(Q80="","",IF(AND(Q80&lt;TODAY(),R80&lt;&gt;"Stage X",R80&lt;&gt;"Stage 6"),"⚠️ OVERDUE",""))</f>
        <v/>
      </c>
      <c r="AG80" s="25">
        <f>IF(A80="","",IF(R80=IFERROR(VLOOKUP(A80,Pipeline!$A:$E,5,FALSE),""),"✓","⚠️ SYNC ERROR"))</f>
        <v/>
      </c>
    </row>
    <row r="81" ht="18" customHeight="1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1" t="n"/>
      <c r="L81" s="20" t="n"/>
      <c r="M81" s="21" t="n"/>
      <c r="N81" s="20" t="n"/>
      <c r="O81" s="20" t="n"/>
      <c r="P81" s="20" t="n"/>
      <c r="Q81" s="21" t="n"/>
      <c r="R81" s="20" t="n"/>
      <c r="S81" s="21" t="n"/>
      <c r="T81" s="20" t="n"/>
      <c r="U81" s="20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  <c r="AE81" s="24">
        <f>IF(M81="","",TODAY()-M81)</f>
        <v/>
      </c>
      <c r="AF81" s="25">
        <f>IF(Q81="","",IF(AND(Q81&lt;TODAY(),R81&lt;&gt;"Stage X",R81&lt;&gt;"Stage 6"),"⚠️ OVERDUE",""))</f>
        <v/>
      </c>
      <c r="AG81" s="25">
        <f>IF(A81="","",IF(R81=IFERROR(VLOOKUP(A81,Pipeline!$A:$E,5,FALSE),""),"✓","⚠️ SYNC ERROR"))</f>
        <v/>
      </c>
    </row>
    <row r="82" ht="18" customHeight="1">
      <c r="A82" s="20" t="n"/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 t="n"/>
      <c r="K82" s="21" t="n"/>
      <c r="L82" s="20" t="n"/>
      <c r="M82" s="21" t="n"/>
      <c r="N82" s="20" t="n"/>
      <c r="O82" s="20" t="n"/>
      <c r="P82" s="20" t="n"/>
      <c r="Q82" s="21" t="n"/>
      <c r="R82" s="20" t="n"/>
      <c r="S82" s="21" t="n"/>
      <c r="T82" s="20" t="n"/>
      <c r="U82" s="20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4">
        <f>IF(M82="","",TODAY()-M82)</f>
        <v/>
      </c>
      <c r="AF82" s="25">
        <f>IF(Q82="","",IF(AND(Q82&lt;TODAY(),R82&lt;&gt;"Stage X",R82&lt;&gt;"Stage 6"),"⚠️ OVERDUE",""))</f>
        <v/>
      </c>
      <c r="AG82" s="25">
        <f>IF(A82="","",IF(R82=IFERROR(VLOOKUP(A82,Pipeline!$A:$E,5,FALSE),""),"✓","⚠️ SYNC ERROR"))</f>
        <v/>
      </c>
    </row>
    <row r="83" ht="18" customHeight="1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1" t="n"/>
      <c r="L83" s="20" t="n"/>
      <c r="M83" s="21" t="n"/>
      <c r="N83" s="20" t="n"/>
      <c r="O83" s="20" t="n"/>
      <c r="P83" s="20" t="n"/>
      <c r="Q83" s="21" t="n"/>
      <c r="R83" s="20" t="n"/>
      <c r="S83" s="21" t="n"/>
      <c r="T83" s="20" t="n"/>
      <c r="U83" s="20" t="n"/>
      <c r="V83" s="20" t="n"/>
      <c r="W83" s="20" t="n"/>
      <c r="X83" s="20" t="n"/>
      <c r="Y83" s="20" t="n"/>
      <c r="Z83" s="20" t="n"/>
      <c r="AA83" s="20" t="n"/>
      <c r="AB83" s="20" t="n"/>
      <c r="AC83" s="20" t="n"/>
      <c r="AD83" s="20" t="n"/>
      <c r="AE83" s="24">
        <f>IF(M83="","",TODAY()-M83)</f>
        <v/>
      </c>
      <c r="AF83" s="25">
        <f>IF(Q83="","",IF(AND(Q83&lt;TODAY(),R83&lt;&gt;"Stage X",R83&lt;&gt;"Stage 6"),"⚠️ OVERDUE",""))</f>
        <v/>
      </c>
      <c r="AG83" s="25">
        <f>IF(A83="","",IF(R83=IFERROR(VLOOKUP(A83,Pipeline!$A:$E,5,FALSE),""),"✓","⚠️ SYNC ERROR"))</f>
        <v/>
      </c>
    </row>
    <row r="84" ht="18" customHeight="1">
      <c r="A84" s="20" t="n"/>
      <c r="B84" s="20" t="n"/>
      <c r="C84" s="20" t="n"/>
      <c r="D84" s="20" t="n"/>
      <c r="E84" s="20" t="n"/>
      <c r="F84" s="20" t="n"/>
      <c r="G84" s="20" t="n"/>
      <c r="H84" s="20" t="n"/>
      <c r="I84" s="20" t="n"/>
      <c r="J84" s="20" t="n"/>
      <c r="K84" s="21" t="n"/>
      <c r="L84" s="20" t="n"/>
      <c r="M84" s="21" t="n"/>
      <c r="N84" s="20" t="n"/>
      <c r="O84" s="20" t="n"/>
      <c r="P84" s="20" t="n"/>
      <c r="Q84" s="21" t="n"/>
      <c r="R84" s="20" t="n"/>
      <c r="S84" s="21" t="n"/>
      <c r="T84" s="20" t="n"/>
      <c r="U84" s="20" t="n"/>
      <c r="V84" s="20" t="n"/>
      <c r="W84" s="20" t="n"/>
      <c r="X84" s="20" t="n"/>
      <c r="Y84" s="20" t="n"/>
      <c r="Z84" s="20" t="n"/>
      <c r="AA84" s="20" t="n"/>
      <c r="AB84" s="20" t="n"/>
      <c r="AC84" s="20" t="n"/>
      <c r="AD84" s="20" t="n"/>
      <c r="AE84" s="24">
        <f>IF(M84="","",TODAY()-M84)</f>
        <v/>
      </c>
      <c r="AF84" s="25">
        <f>IF(Q84="","",IF(AND(Q84&lt;TODAY(),R84&lt;&gt;"Stage X",R84&lt;&gt;"Stage 6"),"⚠️ OVERDUE",""))</f>
        <v/>
      </c>
      <c r="AG84" s="25">
        <f>IF(A84="","",IF(R84=IFERROR(VLOOKUP(A84,Pipeline!$A:$E,5,FALSE),""),"✓","⚠️ SYNC ERROR"))</f>
        <v/>
      </c>
    </row>
    <row r="85" ht="18" customHeight="1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1" t="n"/>
      <c r="L85" s="20" t="n"/>
      <c r="M85" s="21" t="n"/>
      <c r="N85" s="20" t="n"/>
      <c r="O85" s="20" t="n"/>
      <c r="P85" s="20" t="n"/>
      <c r="Q85" s="21" t="n"/>
      <c r="R85" s="20" t="n"/>
      <c r="S85" s="21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4">
        <f>IF(M85="","",TODAY()-M85)</f>
        <v/>
      </c>
      <c r="AF85" s="25">
        <f>IF(Q85="","",IF(AND(Q85&lt;TODAY(),R85&lt;&gt;"Stage X",R85&lt;&gt;"Stage 6"),"⚠️ OVERDUE",""))</f>
        <v/>
      </c>
      <c r="AG85" s="25">
        <f>IF(A85="","",IF(R85=IFERROR(VLOOKUP(A85,Pipeline!$A:$E,5,FALSE),""),"✓","⚠️ SYNC ERROR"))</f>
        <v/>
      </c>
    </row>
    <row r="86" ht="18" customHeight="1">
      <c r="A86" s="20" t="n"/>
      <c r="B86" s="20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1" t="n"/>
      <c r="L86" s="20" t="n"/>
      <c r="M86" s="21" t="n"/>
      <c r="N86" s="20" t="n"/>
      <c r="O86" s="20" t="n"/>
      <c r="P86" s="20" t="n"/>
      <c r="Q86" s="21" t="n"/>
      <c r="R86" s="20" t="n"/>
      <c r="S86" s="21" t="n"/>
      <c r="T86" s="20" t="n"/>
      <c r="U86" s="20" t="n"/>
      <c r="V86" s="20" t="n"/>
      <c r="W86" s="20" t="n"/>
      <c r="X86" s="20" t="n"/>
      <c r="Y86" s="20" t="n"/>
      <c r="Z86" s="20" t="n"/>
      <c r="AA86" s="20" t="n"/>
      <c r="AB86" s="20" t="n"/>
      <c r="AC86" s="20" t="n"/>
      <c r="AD86" s="20" t="n"/>
      <c r="AE86" s="24">
        <f>IF(M86="","",TODAY()-M86)</f>
        <v/>
      </c>
      <c r="AF86" s="25">
        <f>IF(Q86="","",IF(AND(Q86&lt;TODAY(),R86&lt;&gt;"Stage X",R86&lt;&gt;"Stage 6"),"⚠️ OVERDUE",""))</f>
        <v/>
      </c>
      <c r="AG86" s="25">
        <f>IF(A86="","",IF(R86=IFERROR(VLOOKUP(A86,Pipeline!$A:$E,5,FALSE),""),"✓","⚠️ SYNC ERROR"))</f>
        <v/>
      </c>
    </row>
    <row r="87" ht="18" customHeight="1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1" t="n"/>
      <c r="L87" s="20" t="n"/>
      <c r="M87" s="21" t="n"/>
      <c r="N87" s="20" t="n"/>
      <c r="O87" s="20" t="n"/>
      <c r="P87" s="20" t="n"/>
      <c r="Q87" s="21" t="n"/>
      <c r="R87" s="20" t="n"/>
      <c r="S87" s="21" t="n"/>
      <c r="T87" s="20" t="n"/>
      <c r="U87" s="20" t="n"/>
      <c r="V87" s="20" t="n"/>
      <c r="W87" s="20" t="n"/>
      <c r="X87" s="20" t="n"/>
      <c r="Y87" s="20" t="n"/>
      <c r="Z87" s="20" t="n"/>
      <c r="AA87" s="20" t="n"/>
      <c r="AB87" s="20" t="n"/>
      <c r="AC87" s="20" t="n"/>
      <c r="AD87" s="20" t="n"/>
      <c r="AE87" s="24">
        <f>IF(M87="","",TODAY()-M87)</f>
        <v/>
      </c>
      <c r="AF87" s="25">
        <f>IF(Q87="","",IF(AND(Q87&lt;TODAY(),R87&lt;&gt;"Stage X",R87&lt;&gt;"Stage 6"),"⚠️ OVERDUE",""))</f>
        <v/>
      </c>
      <c r="AG87" s="25">
        <f>IF(A87="","",IF(R87=IFERROR(VLOOKUP(A87,Pipeline!$A:$E,5,FALSE),""),"✓","⚠️ SYNC ERROR"))</f>
        <v/>
      </c>
    </row>
    <row r="88" ht="18" customHeight="1">
      <c r="A88" s="20" t="n"/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1" t="n"/>
      <c r="L88" s="20" t="n"/>
      <c r="M88" s="21" t="n"/>
      <c r="N88" s="20" t="n"/>
      <c r="O88" s="20" t="n"/>
      <c r="P88" s="20" t="n"/>
      <c r="Q88" s="21" t="n"/>
      <c r="R88" s="20" t="n"/>
      <c r="S88" s="21" t="n"/>
      <c r="T88" s="20" t="n"/>
      <c r="U88" s="20" t="n"/>
      <c r="V88" s="20" t="n"/>
      <c r="W88" s="20" t="n"/>
      <c r="X88" s="20" t="n"/>
      <c r="Y88" s="20" t="n"/>
      <c r="Z88" s="20" t="n"/>
      <c r="AA88" s="20" t="n"/>
      <c r="AB88" s="20" t="n"/>
      <c r="AC88" s="20" t="n"/>
      <c r="AD88" s="20" t="n"/>
      <c r="AE88" s="24">
        <f>IF(M88="","",TODAY()-M88)</f>
        <v/>
      </c>
      <c r="AF88" s="25">
        <f>IF(Q88="","",IF(AND(Q88&lt;TODAY(),R88&lt;&gt;"Stage X",R88&lt;&gt;"Stage 6"),"⚠️ OVERDUE",""))</f>
        <v/>
      </c>
      <c r="AG88" s="25">
        <f>IF(A88="","",IF(R88=IFERROR(VLOOKUP(A88,Pipeline!$A:$E,5,FALSE),""),"✓","⚠️ SYNC ERROR"))</f>
        <v/>
      </c>
    </row>
    <row r="89" ht="18" customHeight="1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1" t="n"/>
      <c r="L89" s="20" t="n"/>
      <c r="M89" s="21" t="n"/>
      <c r="N89" s="20" t="n"/>
      <c r="O89" s="20" t="n"/>
      <c r="P89" s="20" t="n"/>
      <c r="Q89" s="21" t="n"/>
      <c r="R89" s="20" t="n"/>
      <c r="S89" s="21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4">
        <f>IF(M89="","",TODAY()-M89)</f>
        <v/>
      </c>
      <c r="AF89" s="25">
        <f>IF(Q89="","",IF(AND(Q89&lt;TODAY(),R89&lt;&gt;"Stage X",R89&lt;&gt;"Stage 6"),"⚠️ OVERDUE",""))</f>
        <v/>
      </c>
      <c r="AG89" s="25">
        <f>IF(A89="","",IF(R89=IFERROR(VLOOKUP(A89,Pipeline!$A:$E,5,FALSE),""),"✓","⚠️ SYNC ERROR"))</f>
        <v/>
      </c>
    </row>
    <row r="90" ht="18" customHeight="1">
      <c r="A90" s="20" t="n"/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1" t="n"/>
      <c r="L90" s="20" t="n"/>
      <c r="M90" s="21" t="n"/>
      <c r="N90" s="20" t="n"/>
      <c r="O90" s="20" t="n"/>
      <c r="P90" s="20" t="n"/>
      <c r="Q90" s="21" t="n"/>
      <c r="R90" s="20" t="n"/>
      <c r="S90" s="21" t="n"/>
      <c r="T90" s="20" t="n"/>
      <c r="U90" s="20" t="n"/>
      <c r="V90" s="20" t="n"/>
      <c r="W90" s="20" t="n"/>
      <c r="X90" s="20" t="n"/>
      <c r="Y90" s="20" t="n"/>
      <c r="Z90" s="20" t="n"/>
      <c r="AA90" s="20" t="n"/>
      <c r="AB90" s="20" t="n"/>
      <c r="AC90" s="20" t="n"/>
      <c r="AD90" s="20" t="n"/>
      <c r="AE90" s="24">
        <f>IF(M90="","",TODAY()-M90)</f>
        <v/>
      </c>
      <c r="AF90" s="25">
        <f>IF(Q90="","",IF(AND(Q90&lt;TODAY(),R90&lt;&gt;"Stage X",R90&lt;&gt;"Stage 6"),"⚠️ OVERDUE",""))</f>
        <v/>
      </c>
      <c r="AG90" s="25">
        <f>IF(A90="","",IF(R90=IFERROR(VLOOKUP(A90,Pipeline!$A:$E,5,FALSE),""),"✓","⚠️ SYNC ERROR"))</f>
        <v/>
      </c>
    </row>
    <row r="91" ht="18" customHeight="1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1" t="n"/>
      <c r="L91" s="20" t="n"/>
      <c r="M91" s="21" t="n"/>
      <c r="N91" s="20" t="n"/>
      <c r="O91" s="20" t="n"/>
      <c r="P91" s="20" t="n"/>
      <c r="Q91" s="21" t="n"/>
      <c r="R91" s="20" t="n"/>
      <c r="S91" s="21" t="n"/>
      <c r="T91" s="20" t="n"/>
      <c r="U91" s="20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  <c r="AE91" s="24">
        <f>IF(M91="","",TODAY()-M91)</f>
        <v/>
      </c>
      <c r="AF91" s="25">
        <f>IF(Q91="","",IF(AND(Q91&lt;TODAY(),R91&lt;&gt;"Stage X",R91&lt;&gt;"Stage 6"),"⚠️ OVERDUE",""))</f>
        <v/>
      </c>
      <c r="AG91" s="25">
        <f>IF(A91="","",IF(R91=IFERROR(VLOOKUP(A91,Pipeline!$A:$E,5,FALSE),""),"✓","⚠️ SYNC ERROR"))</f>
        <v/>
      </c>
    </row>
    <row r="92" ht="18" customHeight="1">
      <c r="A92" s="20" t="n"/>
      <c r="B92" s="20" t="n"/>
      <c r="C92" s="20" t="n"/>
      <c r="D92" s="20" t="n"/>
      <c r="E92" s="20" t="n"/>
      <c r="F92" s="20" t="n"/>
      <c r="G92" s="20" t="n"/>
      <c r="H92" s="20" t="n"/>
      <c r="I92" s="20" t="n"/>
      <c r="J92" s="20" t="n"/>
      <c r="K92" s="21" t="n"/>
      <c r="L92" s="20" t="n"/>
      <c r="M92" s="21" t="n"/>
      <c r="N92" s="20" t="n"/>
      <c r="O92" s="20" t="n"/>
      <c r="P92" s="20" t="n"/>
      <c r="Q92" s="21" t="n"/>
      <c r="R92" s="20" t="n"/>
      <c r="S92" s="21" t="n"/>
      <c r="T92" s="20" t="n"/>
      <c r="U92" s="20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0" t="n"/>
      <c r="AE92" s="24">
        <f>IF(M92="","",TODAY()-M92)</f>
        <v/>
      </c>
      <c r="AF92" s="25">
        <f>IF(Q92="","",IF(AND(Q92&lt;TODAY(),R92&lt;&gt;"Stage X",R92&lt;&gt;"Stage 6"),"⚠️ OVERDUE",""))</f>
        <v/>
      </c>
      <c r="AG92" s="25">
        <f>IF(A92="","",IF(R92=IFERROR(VLOOKUP(A92,Pipeline!$A:$E,5,FALSE),""),"✓","⚠️ SYNC ERROR"))</f>
        <v/>
      </c>
    </row>
    <row r="93" ht="18" customHeight="1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1" t="n"/>
      <c r="L93" s="20" t="n"/>
      <c r="M93" s="21" t="n"/>
      <c r="N93" s="20" t="n"/>
      <c r="O93" s="20" t="n"/>
      <c r="P93" s="20" t="n"/>
      <c r="Q93" s="21" t="n"/>
      <c r="R93" s="20" t="n"/>
      <c r="S93" s="21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4">
        <f>IF(M93="","",TODAY()-M93)</f>
        <v/>
      </c>
      <c r="AF93" s="25">
        <f>IF(Q93="","",IF(AND(Q93&lt;TODAY(),R93&lt;&gt;"Stage X",R93&lt;&gt;"Stage 6"),"⚠️ OVERDUE",""))</f>
        <v/>
      </c>
      <c r="AG93" s="25">
        <f>IF(A93="","",IF(R93=IFERROR(VLOOKUP(A93,Pipeline!$A:$E,5,FALSE),""),"✓","⚠️ SYNC ERROR"))</f>
        <v/>
      </c>
    </row>
    <row r="94" ht="18" customHeight="1">
      <c r="A94" s="20" t="n"/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n"/>
      <c r="K94" s="21" t="n"/>
      <c r="L94" s="20" t="n"/>
      <c r="M94" s="21" t="n"/>
      <c r="N94" s="20" t="n"/>
      <c r="O94" s="20" t="n"/>
      <c r="P94" s="20" t="n"/>
      <c r="Q94" s="21" t="n"/>
      <c r="R94" s="20" t="n"/>
      <c r="S94" s="21" t="n"/>
      <c r="T94" s="20" t="n"/>
      <c r="U94" s="20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0" t="n"/>
      <c r="AE94" s="24">
        <f>IF(M94="","",TODAY()-M94)</f>
        <v/>
      </c>
      <c r="AF94" s="25">
        <f>IF(Q94="","",IF(AND(Q94&lt;TODAY(),R94&lt;&gt;"Stage X",R94&lt;&gt;"Stage 6"),"⚠️ OVERDUE",""))</f>
        <v/>
      </c>
      <c r="AG94" s="25">
        <f>IF(A94="","",IF(R94=IFERROR(VLOOKUP(A94,Pipeline!$A:$E,5,FALSE),""),"✓","⚠️ SYNC ERROR"))</f>
        <v/>
      </c>
    </row>
    <row r="95" ht="18" customHeight="1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1" t="n"/>
      <c r="L95" s="20" t="n"/>
      <c r="M95" s="21" t="n"/>
      <c r="N95" s="20" t="n"/>
      <c r="O95" s="20" t="n"/>
      <c r="P95" s="20" t="n"/>
      <c r="Q95" s="21" t="n"/>
      <c r="R95" s="20" t="n"/>
      <c r="S95" s="21" t="n"/>
      <c r="T95" s="20" t="n"/>
      <c r="U95" s="20" t="n"/>
      <c r="V95" s="20" t="n"/>
      <c r="W95" s="20" t="n"/>
      <c r="X95" s="20" t="n"/>
      <c r="Y95" s="20" t="n"/>
      <c r="Z95" s="20" t="n"/>
      <c r="AA95" s="20" t="n"/>
      <c r="AB95" s="20" t="n"/>
      <c r="AC95" s="20" t="n"/>
      <c r="AD95" s="20" t="n"/>
      <c r="AE95" s="24">
        <f>IF(M95="","",TODAY()-M95)</f>
        <v/>
      </c>
      <c r="AF95" s="25">
        <f>IF(Q95="","",IF(AND(Q95&lt;TODAY(),R95&lt;&gt;"Stage X",R95&lt;&gt;"Stage 6"),"⚠️ OVERDUE",""))</f>
        <v/>
      </c>
      <c r="AG95" s="25">
        <f>IF(A95="","",IF(R95=IFERROR(VLOOKUP(A95,Pipeline!$A:$E,5,FALSE),""),"✓","⚠️ SYNC ERROR"))</f>
        <v/>
      </c>
    </row>
    <row r="96" ht="18" customHeight="1">
      <c r="A96" s="20" t="n"/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n"/>
      <c r="K96" s="21" t="n"/>
      <c r="L96" s="20" t="n"/>
      <c r="M96" s="21" t="n"/>
      <c r="N96" s="20" t="n"/>
      <c r="O96" s="20" t="n"/>
      <c r="P96" s="20" t="n"/>
      <c r="Q96" s="21" t="n"/>
      <c r="R96" s="20" t="n"/>
      <c r="S96" s="21" t="n"/>
      <c r="T96" s="20" t="n"/>
      <c r="U96" s="20" t="n"/>
      <c r="V96" s="20" t="n"/>
      <c r="W96" s="20" t="n"/>
      <c r="X96" s="20" t="n"/>
      <c r="Y96" s="20" t="n"/>
      <c r="Z96" s="20" t="n"/>
      <c r="AA96" s="20" t="n"/>
      <c r="AB96" s="20" t="n"/>
      <c r="AC96" s="20" t="n"/>
      <c r="AD96" s="20" t="n"/>
      <c r="AE96" s="24">
        <f>IF(M96="","",TODAY()-M96)</f>
        <v/>
      </c>
      <c r="AF96" s="25">
        <f>IF(Q96="","",IF(AND(Q96&lt;TODAY(),R96&lt;&gt;"Stage X",R96&lt;&gt;"Stage 6"),"⚠️ OVERDUE",""))</f>
        <v/>
      </c>
      <c r="AG96" s="25">
        <f>IF(A96="","",IF(R96=IFERROR(VLOOKUP(A96,Pipeline!$A:$E,5,FALSE),""),"✓","⚠️ SYNC ERROR"))</f>
        <v/>
      </c>
    </row>
    <row r="97" ht="18" customHeight="1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1" t="n"/>
      <c r="L97" s="20" t="n"/>
      <c r="M97" s="21" t="n"/>
      <c r="N97" s="20" t="n"/>
      <c r="O97" s="20" t="n"/>
      <c r="P97" s="20" t="n"/>
      <c r="Q97" s="21" t="n"/>
      <c r="R97" s="20" t="n"/>
      <c r="S97" s="21" t="n"/>
      <c r="T97" s="20" t="n"/>
      <c r="U97" s="20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0" t="n"/>
      <c r="AE97" s="24">
        <f>IF(M97="","",TODAY()-M97)</f>
        <v/>
      </c>
      <c r="AF97" s="25">
        <f>IF(Q97="","",IF(AND(Q97&lt;TODAY(),R97&lt;&gt;"Stage X",R97&lt;&gt;"Stage 6"),"⚠️ OVERDUE",""))</f>
        <v/>
      </c>
      <c r="AG97" s="25">
        <f>IF(A97="","",IF(R97=IFERROR(VLOOKUP(A97,Pipeline!$A:$E,5,FALSE),""),"✓","⚠️ SYNC ERROR"))</f>
        <v/>
      </c>
    </row>
    <row r="98" ht="18" customHeight="1">
      <c r="A98" s="20" t="n"/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n"/>
      <c r="K98" s="21" t="n"/>
      <c r="L98" s="20" t="n"/>
      <c r="M98" s="21" t="n"/>
      <c r="N98" s="20" t="n"/>
      <c r="O98" s="20" t="n"/>
      <c r="P98" s="20" t="n"/>
      <c r="Q98" s="21" t="n"/>
      <c r="R98" s="20" t="n"/>
      <c r="S98" s="21" t="n"/>
      <c r="T98" s="20" t="n"/>
      <c r="U98" s="20" t="n"/>
      <c r="V98" s="20" t="n"/>
      <c r="W98" s="20" t="n"/>
      <c r="X98" s="20" t="n"/>
      <c r="Y98" s="20" t="n"/>
      <c r="Z98" s="20" t="n"/>
      <c r="AA98" s="20" t="n"/>
      <c r="AB98" s="20" t="n"/>
      <c r="AC98" s="20" t="n"/>
      <c r="AD98" s="20" t="n"/>
      <c r="AE98" s="24">
        <f>IF(M98="","",TODAY()-M98)</f>
        <v/>
      </c>
      <c r="AF98" s="25">
        <f>IF(Q98="","",IF(AND(Q98&lt;TODAY(),R98&lt;&gt;"Stage X",R98&lt;&gt;"Stage 6"),"⚠️ OVERDUE",""))</f>
        <v/>
      </c>
      <c r="AG98" s="25">
        <f>IF(A98="","",IF(R98=IFERROR(VLOOKUP(A98,Pipeline!$A:$E,5,FALSE),""),"✓","⚠️ SYNC ERROR"))</f>
        <v/>
      </c>
    </row>
    <row r="99" ht="18" customHeight="1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1" t="n"/>
      <c r="L99" s="20" t="n"/>
      <c r="M99" s="21" t="n"/>
      <c r="N99" s="20" t="n"/>
      <c r="O99" s="20" t="n"/>
      <c r="P99" s="20" t="n"/>
      <c r="Q99" s="21" t="n"/>
      <c r="R99" s="20" t="n"/>
      <c r="S99" s="21" t="n"/>
      <c r="T99" s="20" t="n"/>
      <c r="U99" s="20" t="n"/>
      <c r="V99" s="20" t="n"/>
      <c r="W99" s="20" t="n"/>
      <c r="X99" s="20" t="n"/>
      <c r="Y99" s="20" t="n"/>
      <c r="Z99" s="20" t="n"/>
      <c r="AA99" s="20" t="n"/>
      <c r="AB99" s="20" t="n"/>
      <c r="AC99" s="20" t="n"/>
      <c r="AD99" s="20" t="n"/>
      <c r="AE99" s="24">
        <f>IF(M99="","",TODAY()-M99)</f>
        <v/>
      </c>
      <c r="AF99" s="25">
        <f>IF(Q99="","",IF(AND(Q99&lt;TODAY(),R99&lt;&gt;"Stage X",R99&lt;&gt;"Stage 6"),"⚠️ OVERDUE",""))</f>
        <v/>
      </c>
      <c r="AG99" s="25">
        <f>IF(A99="","",IF(R99=IFERROR(VLOOKUP(A99,Pipeline!$A:$E,5,FALSE),""),"✓","⚠️ SYNC ERROR"))</f>
        <v/>
      </c>
    </row>
    <row r="100" ht="18" customHeight="1">
      <c r="A100" s="20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1" t="n"/>
      <c r="L100" s="20" t="n"/>
      <c r="M100" s="21" t="n"/>
      <c r="N100" s="20" t="n"/>
      <c r="O100" s="20" t="n"/>
      <c r="P100" s="20" t="n"/>
      <c r="Q100" s="21" t="n"/>
      <c r="R100" s="20" t="n"/>
      <c r="S100" s="21" t="n"/>
      <c r="T100" s="20" t="n"/>
      <c r="U100" s="20" t="n"/>
      <c r="V100" s="20" t="n"/>
      <c r="W100" s="20" t="n"/>
      <c r="X100" s="20" t="n"/>
      <c r="Y100" s="20" t="n"/>
      <c r="Z100" s="20" t="n"/>
      <c r="AA100" s="20" t="n"/>
      <c r="AB100" s="20" t="n"/>
      <c r="AC100" s="20" t="n"/>
      <c r="AD100" s="20" t="n"/>
      <c r="AE100" s="24">
        <f>IF(M100="","",TODAY()-M100)</f>
        <v/>
      </c>
      <c r="AF100" s="25">
        <f>IF(Q100="","",IF(AND(Q100&lt;TODAY(),R100&lt;&gt;"Stage X",R100&lt;&gt;"Stage 6"),"⚠️ OVERDUE",""))</f>
        <v/>
      </c>
      <c r="AG100" s="25">
        <f>IF(A100="","",IF(R100=IFERROR(VLOOKUP(A100,Pipeline!$A:$E,5,FALSE),""),"✓","⚠️ SYNC ERROR"))</f>
        <v/>
      </c>
    </row>
    <row r="101" ht="18" customHeight="1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1" t="n"/>
      <c r="L101" s="20" t="n"/>
      <c r="M101" s="21" t="n"/>
      <c r="N101" s="20" t="n"/>
      <c r="O101" s="20" t="n"/>
      <c r="P101" s="20" t="n"/>
      <c r="Q101" s="21" t="n"/>
      <c r="R101" s="20" t="n"/>
      <c r="S101" s="21" t="n"/>
      <c r="T101" s="20" t="n"/>
      <c r="U101" s="20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  <c r="AD101" s="20" t="n"/>
      <c r="AE101" s="24">
        <f>IF(M101="","",TODAY()-M101)</f>
        <v/>
      </c>
      <c r="AF101" s="25">
        <f>IF(Q101="","",IF(AND(Q101&lt;TODAY(),R101&lt;&gt;"Stage X",R101&lt;&gt;"Stage 6"),"⚠️ OVERDUE",""))</f>
        <v/>
      </c>
      <c r="AG101" s="25">
        <f>IF(A101="","",IF(R101=IFERROR(VLOOKUP(A101,Pipeline!$A:$E,5,FALSE),""),"✓","⚠️ SYNC ERROR"))</f>
        <v/>
      </c>
    </row>
    <row r="102" ht="18" customHeight="1">
      <c r="A102" s="20" t="n"/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1" t="n"/>
      <c r="L102" s="20" t="n"/>
      <c r="M102" s="21" t="n"/>
      <c r="N102" s="20" t="n"/>
      <c r="O102" s="20" t="n"/>
      <c r="P102" s="20" t="n"/>
      <c r="Q102" s="21" t="n"/>
      <c r="R102" s="20" t="n"/>
      <c r="S102" s="21" t="n"/>
      <c r="T102" s="20" t="n"/>
      <c r="U102" s="20" t="n"/>
      <c r="V102" s="20" t="n"/>
      <c r="W102" s="20" t="n"/>
      <c r="X102" s="20" t="n"/>
      <c r="Y102" s="20" t="n"/>
      <c r="Z102" s="20" t="n"/>
      <c r="AA102" s="20" t="n"/>
      <c r="AB102" s="20" t="n"/>
      <c r="AC102" s="20" t="n"/>
      <c r="AD102" s="20" t="n"/>
      <c r="AE102" s="24">
        <f>IF(M102="","",TODAY()-M102)</f>
        <v/>
      </c>
      <c r="AF102" s="25">
        <f>IF(Q102="","",IF(AND(Q102&lt;TODAY(),R102&lt;&gt;"Stage X",R102&lt;&gt;"Stage 6"),"⚠️ OVERDUE",""))</f>
        <v/>
      </c>
      <c r="AG102" s="25">
        <f>IF(A102="","",IF(R102=IFERROR(VLOOKUP(A102,Pipeline!$A:$E,5,FALSE),""),"✓","⚠️ SYNC ERROR"))</f>
        <v/>
      </c>
    </row>
    <row r="103" ht="18" customHeight="1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1" t="n"/>
      <c r="L103" s="20" t="n"/>
      <c r="M103" s="21" t="n"/>
      <c r="N103" s="20" t="n"/>
      <c r="O103" s="20" t="n"/>
      <c r="P103" s="20" t="n"/>
      <c r="Q103" s="21" t="n"/>
      <c r="R103" s="20" t="n"/>
      <c r="S103" s="21" t="n"/>
      <c r="T103" s="20" t="n"/>
      <c r="U103" s="20" t="n"/>
      <c r="V103" s="20" t="n"/>
      <c r="W103" s="20" t="n"/>
      <c r="X103" s="20" t="n"/>
      <c r="Y103" s="20" t="n"/>
      <c r="Z103" s="20" t="n"/>
      <c r="AA103" s="20" t="n"/>
      <c r="AB103" s="20" t="n"/>
      <c r="AC103" s="20" t="n"/>
      <c r="AD103" s="20" t="n"/>
      <c r="AE103" s="24">
        <f>IF(M103="","",TODAY()-M103)</f>
        <v/>
      </c>
      <c r="AF103" s="25">
        <f>IF(Q103="","",IF(AND(Q103&lt;TODAY(),R103&lt;&gt;"Stage X",R103&lt;&gt;"Stage 6"),"⚠️ OVERDUE",""))</f>
        <v/>
      </c>
      <c r="AG103" s="25">
        <f>IF(A103="","",IF(R103=IFERROR(VLOOKUP(A103,Pipeline!$A:$E,5,FALSE),""),"✓","⚠️ SYNC ERROR"))</f>
        <v/>
      </c>
    </row>
    <row r="104" ht="18" customHeight="1">
      <c r="A104" s="20" t="n"/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1" t="n"/>
      <c r="L104" s="20" t="n"/>
      <c r="M104" s="21" t="n"/>
      <c r="N104" s="20" t="n"/>
      <c r="O104" s="20" t="n"/>
      <c r="P104" s="20" t="n"/>
      <c r="Q104" s="21" t="n"/>
      <c r="R104" s="20" t="n"/>
      <c r="S104" s="21" t="n"/>
      <c r="T104" s="20" t="n"/>
      <c r="U104" s="20" t="n"/>
      <c r="V104" s="20" t="n"/>
      <c r="W104" s="20" t="n"/>
      <c r="X104" s="20" t="n"/>
      <c r="Y104" s="20" t="n"/>
      <c r="Z104" s="20" t="n"/>
      <c r="AA104" s="20" t="n"/>
      <c r="AB104" s="20" t="n"/>
      <c r="AC104" s="20" t="n"/>
      <c r="AD104" s="20" t="n"/>
      <c r="AE104" s="24">
        <f>IF(M104="","",TODAY()-M104)</f>
        <v/>
      </c>
      <c r="AF104" s="25">
        <f>IF(Q104="","",IF(AND(Q104&lt;TODAY(),R104&lt;&gt;"Stage X",R104&lt;&gt;"Stage 6"),"⚠️ OVERDUE",""))</f>
        <v/>
      </c>
      <c r="AG104" s="25">
        <f>IF(A104="","",IF(R104=IFERROR(VLOOKUP(A104,Pipeline!$A:$E,5,FALSE),""),"✓","⚠️ SYNC ERROR"))</f>
        <v/>
      </c>
    </row>
    <row r="105" ht="18" customHeight="1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1" t="n"/>
      <c r="L105" s="20" t="n"/>
      <c r="M105" s="21" t="n"/>
      <c r="N105" s="20" t="n"/>
      <c r="O105" s="20" t="n"/>
      <c r="P105" s="20" t="n"/>
      <c r="Q105" s="21" t="n"/>
      <c r="R105" s="20" t="n"/>
      <c r="S105" s="21" t="n"/>
      <c r="T105" s="20" t="n"/>
      <c r="U105" s="20" t="n"/>
      <c r="V105" s="20" t="n"/>
      <c r="W105" s="20" t="n"/>
      <c r="X105" s="20" t="n"/>
      <c r="Y105" s="20" t="n"/>
      <c r="Z105" s="20" t="n"/>
      <c r="AA105" s="20" t="n"/>
      <c r="AB105" s="20" t="n"/>
      <c r="AC105" s="20" t="n"/>
      <c r="AD105" s="20" t="n"/>
      <c r="AE105" s="24">
        <f>IF(M105="","",TODAY()-M105)</f>
        <v/>
      </c>
      <c r="AF105" s="25">
        <f>IF(Q105="","",IF(AND(Q105&lt;TODAY(),R105&lt;&gt;"Stage X",R105&lt;&gt;"Stage 6"),"⚠️ OVERDUE",""))</f>
        <v/>
      </c>
      <c r="AG105" s="25">
        <f>IF(A105="","",IF(R105=IFERROR(VLOOKUP(A105,Pipeline!$A:$E,5,FALSE),""),"✓","⚠️ SYNC ERROR"))</f>
        <v/>
      </c>
    </row>
    <row r="106" ht="18" customHeight="1">
      <c r="A106" s="20" t="n"/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0" t="n"/>
      <c r="K106" s="21" t="n"/>
      <c r="L106" s="20" t="n"/>
      <c r="M106" s="21" t="n"/>
      <c r="N106" s="20" t="n"/>
      <c r="O106" s="20" t="n"/>
      <c r="P106" s="20" t="n"/>
      <c r="Q106" s="21" t="n"/>
      <c r="R106" s="20" t="n"/>
      <c r="S106" s="21" t="n"/>
      <c r="T106" s="20" t="n"/>
      <c r="U106" s="20" t="n"/>
      <c r="V106" s="20" t="n"/>
      <c r="W106" s="20" t="n"/>
      <c r="X106" s="20" t="n"/>
      <c r="Y106" s="20" t="n"/>
      <c r="Z106" s="20" t="n"/>
      <c r="AA106" s="20" t="n"/>
      <c r="AB106" s="20" t="n"/>
      <c r="AC106" s="20" t="n"/>
      <c r="AD106" s="20" t="n"/>
      <c r="AE106" s="24">
        <f>IF(M106="","",TODAY()-M106)</f>
        <v/>
      </c>
      <c r="AF106" s="25">
        <f>IF(Q106="","",IF(AND(Q106&lt;TODAY(),R106&lt;&gt;"Stage X",R106&lt;&gt;"Stage 6"),"⚠️ OVERDUE",""))</f>
        <v/>
      </c>
      <c r="AG106" s="25">
        <f>IF(A106="","",IF(R106=IFERROR(VLOOKUP(A106,Pipeline!$A:$E,5,FALSE),""),"✓","⚠️ SYNC ERROR"))</f>
        <v/>
      </c>
    </row>
    <row r="107" ht="18" customHeight="1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1" t="n"/>
      <c r="L107" s="20" t="n"/>
      <c r="M107" s="21" t="n"/>
      <c r="N107" s="20" t="n"/>
      <c r="O107" s="20" t="n"/>
      <c r="P107" s="20" t="n"/>
      <c r="Q107" s="21" t="n"/>
      <c r="R107" s="20" t="n"/>
      <c r="S107" s="21" t="n"/>
      <c r="T107" s="20" t="n"/>
      <c r="U107" s="20" t="n"/>
      <c r="V107" s="20" t="n"/>
      <c r="W107" s="20" t="n"/>
      <c r="X107" s="20" t="n"/>
      <c r="Y107" s="20" t="n"/>
      <c r="Z107" s="20" t="n"/>
      <c r="AA107" s="20" t="n"/>
      <c r="AB107" s="20" t="n"/>
      <c r="AC107" s="20" t="n"/>
      <c r="AD107" s="20" t="n"/>
      <c r="AE107" s="24">
        <f>IF(M107="","",TODAY()-M107)</f>
        <v/>
      </c>
      <c r="AF107" s="25">
        <f>IF(Q107="","",IF(AND(Q107&lt;TODAY(),R107&lt;&gt;"Stage X",R107&lt;&gt;"Stage 6"),"⚠️ OVERDUE",""))</f>
        <v/>
      </c>
      <c r="AG107" s="25">
        <f>IF(A107="","",IF(R107=IFERROR(VLOOKUP(A107,Pipeline!$A:$E,5,FALSE),""),"✓","⚠️ SYNC ERROR"))</f>
        <v/>
      </c>
    </row>
    <row r="108" ht="18" customHeight="1">
      <c r="A108" s="20" t="n"/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1" t="n"/>
      <c r="L108" s="20" t="n"/>
      <c r="M108" s="21" t="n"/>
      <c r="N108" s="20" t="n"/>
      <c r="O108" s="20" t="n"/>
      <c r="P108" s="20" t="n"/>
      <c r="Q108" s="21" t="n"/>
      <c r="R108" s="20" t="n"/>
      <c r="S108" s="21" t="n"/>
      <c r="T108" s="20" t="n"/>
      <c r="U108" s="20" t="n"/>
      <c r="V108" s="20" t="n"/>
      <c r="W108" s="20" t="n"/>
      <c r="X108" s="20" t="n"/>
      <c r="Y108" s="20" t="n"/>
      <c r="Z108" s="20" t="n"/>
      <c r="AA108" s="20" t="n"/>
      <c r="AB108" s="20" t="n"/>
      <c r="AC108" s="20" t="n"/>
      <c r="AD108" s="20" t="n"/>
      <c r="AE108" s="24">
        <f>IF(M108="","",TODAY()-M108)</f>
        <v/>
      </c>
      <c r="AF108" s="25">
        <f>IF(Q108="","",IF(AND(Q108&lt;TODAY(),R108&lt;&gt;"Stage X",R108&lt;&gt;"Stage 6"),"⚠️ OVERDUE",""))</f>
        <v/>
      </c>
      <c r="AG108" s="25">
        <f>IF(A108="","",IF(R108=IFERROR(VLOOKUP(A108,Pipeline!$A:$E,5,FALSE),""),"✓","⚠️ SYNC ERROR"))</f>
        <v/>
      </c>
    </row>
    <row r="109" ht="18" customHeight="1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1" t="n"/>
      <c r="L109" s="20" t="n"/>
      <c r="M109" s="21" t="n"/>
      <c r="N109" s="20" t="n"/>
      <c r="O109" s="20" t="n"/>
      <c r="P109" s="20" t="n"/>
      <c r="Q109" s="21" t="n"/>
      <c r="R109" s="20" t="n"/>
      <c r="S109" s="21" t="n"/>
      <c r="T109" s="20" t="n"/>
      <c r="U109" s="20" t="n"/>
      <c r="V109" s="20" t="n"/>
      <c r="W109" s="20" t="n"/>
      <c r="X109" s="20" t="n"/>
      <c r="Y109" s="20" t="n"/>
      <c r="Z109" s="20" t="n"/>
      <c r="AA109" s="20" t="n"/>
      <c r="AB109" s="20" t="n"/>
      <c r="AC109" s="20" t="n"/>
      <c r="AD109" s="20" t="n"/>
      <c r="AE109" s="24">
        <f>IF(M109="","",TODAY()-M109)</f>
        <v/>
      </c>
      <c r="AF109" s="25">
        <f>IF(Q109="","",IF(AND(Q109&lt;TODAY(),R109&lt;&gt;"Stage X",R109&lt;&gt;"Stage 6"),"⚠️ OVERDUE",""))</f>
        <v/>
      </c>
      <c r="AG109" s="25">
        <f>IF(A109="","",IF(R109=IFERROR(VLOOKUP(A109,Pipeline!$A:$E,5,FALSE),""),"✓","⚠️ SYNC ERROR"))</f>
        <v/>
      </c>
    </row>
    <row r="110" ht="18" customHeight="1">
      <c r="A110" s="20" t="n"/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0" t="n"/>
      <c r="K110" s="21" t="n"/>
      <c r="L110" s="20" t="n"/>
      <c r="M110" s="21" t="n"/>
      <c r="N110" s="20" t="n"/>
      <c r="O110" s="20" t="n"/>
      <c r="P110" s="20" t="n"/>
      <c r="Q110" s="21" t="n"/>
      <c r="R110" s="20" t="n"/>
      <c r="S110" s="21" t="n"/>
      <c r="T110" s="20" t="n"/>
      <c r="U110" s="20" t="n"/>
      <c r="V110" s="20" t="n"/>
      <c r="W110" s="20" t="n"/>
      <c r="X110" s="20" t="n"/>
      <c r="Y110" s="20" t="n"/>
      <c r="Z110" s="20" t="n"/>
      <c r="AA110" s="20" t="n"/>
      <c r="AB110" s="20" t="n"/>
      <c r="AC110" s="20" t="n"/>
      <c r="AD110" s="20" t="n"/>
      <c r="AE110" s="24">
        <f>IF(M110="","",TODAY()-M110)</f>
        <v/>
      </c>
      <c r="AF110" s="25">
        <f>IF(Q110="","",IF(AND(Q110&lt;TODAY(),R110&lt;&gt;"Stage X",R110&lt;&gt;"Stage 6"),"⚠️ OVERDUE",""))</f>
        <v/>
      </c>
      <c r="AG110" s="25">
        <f>IF(A110="","",IF(R110=IFERROR(VLOOKUP(A110,Pipeline!$A:$E,5,FALSE),""),"✓","⚠️ SYNC ERROR"))</f>
        <v/>
      </c>
    </row>
    <row r="111" ht="18" customHeight="1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1" t="n"/>
      <c r="L111" s="20" t="n"/>
      <c r="M111" s="21" t="n"/>
      <c r="N111" s="20" t="n"/>
      <c r="O111" s="20" t="n"/>
      <c r="P111" s="20" t="n"/>
      <c r="Q111" s="21" t="n"/>
      <c r="R111" s="20" t="n"/>
      <c r="S111" s="21" t="n"/>
      <c r="T111" s="20" t="n"/>
      <c r="U111" s="20" t="n"/>
      <c r="V111" s="20" t="n"/>
      <c r="W111" s="20" t="n"/>
      <c r="X111" s="20" t="n"/>
      <c r="Y111" s="20" t="n"/>
      <c r="Z111" s="20" t="n"/>
      <c r="AA111" s="20" t="n"/>
      <c r="AB111" s="20" t="n"/>
      <c r="AC111" s="20" t="n"/>
      <c r="AD111" s="20" t="n"/>
      <c r="AE111" s="24">
        <f>IF(M111="","",TODAY()-M111)</f>
        <v/>
      </c>
      <c r="AF111" s="25">
        <f>IF(Q111="","",IF(AND(Q111&lt;TODAY(),R111&lt;&gt;"Stage X",R111&lt;&gt;"Stage 6"),"⚠️ OVERDUE",""))</f>
        <v/>
      </c>
      <c r="AG111" s="25">
        <f>IF(A111="","",IF(R111=IFERROR(VLOOKUP(A111,Pipeline!$A:$E,5,FALSE),""),"✓","⚠️ SYNC ERROR"))</f>
        <v/>
      </c>
    </row>
    <row r="112" ht="18" customHeight="1">
      <c r="A112" s="20" t="n"/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0" t="n"/>
      <c r="K112" s="21" t="n"/>
      <c r="L112" s="20" t="n"/>
      <c r="M112" s="21" t="n"/>
      <c r="N112" s="20" t="n"/>
      <c r="O112" s="20" t="n"/>
      <c r="P112" s="20" t="n"/>
      <c r="Q112" s="21" t="n"/>
      <c r="R112" s="20" t="n"/>
      <c r="S112" s="21" t="n"/>
      <c r="T112" s="20" t="n"/>
      <c r="U112" s="20" t="n"/>
      <c r="V112" s="20" t="n"/>
      <c r="W112" s="20" t="n"/>
      <c r="X112" s="20" t="n"/>
      <c r="Y112" s="20" t="n"/>
      <c r="Z112" s="20" t="n"/>
      <c r="AA112" s="20" t="n"/>
      <c r="AB112" s="20" t="n"/>
      <c r="AC112" s="20" t="n"/>
      <c r="AD112" s="20" t="n"/>
      <c r="AE112" s="24">
        <f>IF(M112="","",TODAY()-M112)</f>
        <v/>
      </c>
      <c r="AF112" s="25">
        <f>IF(Q112="","",IF(AND(Q112&lt;TODAY(),R112&lt;&gt;"Stage X",R112&lt;&gt;"Stage 6"),"⚠️ OVERDUE",""))</f>
        <v/>
      </c>
      <c r="AG112" s="25">
        <f>IF(A112="","",IF(R112=IFERROR(VLOOKUP(A112,Pipeline!$A:$E,5,FALSE),""),"✓","⚠️ SYNC ERROR"))</f>
        <v/>
      </c>
    </row>
    <row r="113" ht="18" customHeight="1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1" t="n"/>
      <c r="L113" s="20" t="n"/>
      <c r="M113" s="21" t="n"/>
      <c r="N113" s="20" t="n"/>
      <c r="O113" s="20" t="n"/>
      <c r="P113" s="20" t="n"/>
      <c r="Q113" s="21" t="n"/>
      <c r="R113" s="20" t="n"/>
      <c r="S113" s="21" t="n"/>
      <c r="T113" s="20" t="n"/>
      <c r="U113" s="20" t="n"/>
      <c r="V113" s="20" t="n"/>
      <c r="W113" s="20" t="n"/>
      <c r="X113" s="20" t="n"/>
      <c r="Y113" s="20" t="n"/>
      <c r="Z113" s="20" t="n"/>
      <c r="AA113" s="20" t="n"/>
      <c r="AB113" s="20" t="n"/>
      <c r="AC113" s="20" t="n"/>
      <c r="AD113" s="20" t="n"/>
      <c r="AE113" s="24">
        <f>IF(M113="","",TODAY()-M113)</f>
        <v/>
      </c>
      <c r="AF113" s="25">
        <f>IF(Q113="","",IF(AND(Q113&lt;TODAY(),R113&lt;&gt;"Stage X",R113&lt;&gt;"Stage 6"),"⚠️ OVERDUE",""))</f>
        <v/>
      </c>
      <c r="AG113" s="25">
        <f>IF(A113="","",IF(R113=IFERROR(VLOOKUP(A113,Pipeline!$A:$E,5,FALSE),""),"✓","⚠️ SYNC ERROR"))</f>
        <v/>
      </c>
    </row>
    <row r="114" ht="18" customHeight="1">
      <c r="A114" s="20" t="n"/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1" t="n"/>
      <c r="L114" s="20" t="n"/>
      <c r="M114" s="21" t="n"/>
      <c r="N114" s="20" t="n"/>
      <c r="O114" s="20" t="n"/>
      <c r="P114" s="20" t="n"/>
      <c r="Q114" s="21" t="n"/>
      <c r="R114" s="20" t="n"/>
      <c r="S114" s="21" t="n"/>
      <c r="T114" s="20" t="n"/>
      <c r="U114" s="20" t="n"/>
      <c r="V114" s="20" t="n"/>
      <c r="W114" s="20" t="n"/>
      <c r="X114" s="20" t="n"/>
      <c r="Y114" s="20" t="n"/>
      <c r="Z114" s="20" t="n"/>
      <c r="AA114" s="20" t="n"/>
      <c r="AB114" s="20" t="n"/>
      <c r="AC114" s="20" t="n"/>
      <c r="AD114" s="20" t="n"/>
      <c r="AE114" s="24">
        <f>IF(M114="","",TODAY()-M114)</f>
        <v/>
      </c>
      <c r="AF114" s="25">
        <f>IF(Q114="","",IF(AND(Q114&lt;TODAY(),R114&lt;&gt;"Stage X",R114&lt;&gt;"Stage 6"),"⚠️ OVERDUE",""))</f>
        <v/>
      </c>
      <c r="AG114" s="25">
        <f>IF(A114="","",IF(R114=IFERROR(VLOOKUP(A114,Pipeline!$A:$E,5,FALSE),""),"✓","⚠️ SYNC ERROR"))</f>
        <v/>
      </c>
    </row>
    <row r="115" ht="18" customHeight="1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1" t="n"/>
      <c r="L115" s="20" t="n"/>
      <c r="M115" s="21" t="n"/>
      <c r="N115" s="20" t="n"/>
      <c r="O115" s="20" t="n"/>
      <c r="P115" s="20" t="n"/>
      <c r="Q115" s="21" t="n"/>
      <c r="R115" s="20" t="n"/>
      <c r="S115" s="21" t="n"/>
      <c r="T115" s="20" t="n"/>
      <c r="U115" s="20" t="n"/>
      <c r="V115" s="20" t="n"/>
      <c r="W115" s="20" t="n"/>
      <c r="X115" s="20" t="n"/>
      <c r="Y115" s="20" t="n"/>
      <c r="Z115" s="20" t="n"/>
      <c r="AA115" s="20" t="n"/>
      <c r="AB115" s="20" t="n"/>
      <c r="AC115" s="20" t="n"/>
      <c r="AD115" s="20" t="n"/>
      <c r="AE115" s="24">
        <f>IF(M115="","",TODAY()-M115)</f>
        <v/>
      </c>
      <c r="AF115" s="25">
        <f>IF(Q115="","",IF(AND(Q115&lt;TODAY(),R115&lt;&gt;"Stage X",R115&lt;&gt;"Stage 6"),"⚠️ OVERDUE",""))</f>
        <v/>
      </c>
      <c r="AG115" s="25">
        <f>IF(A115="","",IF(R115=IFERROR(VLOOKUP(A115,Pipeline!$A:$E,5,FALSE),""),"✓","⚠️ SYNC ERROR"))</f>
        <v/>
      </c>
    </row>
    <row r="116" ht="18" customHeight="1">
      <c r="A116" s="20" t="n"/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0" t="n"/>
      <c r="K116" s="21" t="n"/>
      <c r="L116" s="20" t="n"/>
      <c r="M116" s="21" t="n"/>
      <c r="N116" s="20" t="n"/>
      <c r="O116" s="20" t="n"/>
      <c r="P116" s="20" t="n"/>
      <c r="Q116" s="21" t="n"/>
      <c r="R116" s="20" t="n"/>
      <c r="S116" s="21" t="n"/>
      <c r="T116" s="20" t="n"/>
      <c r="U116" s="20" t="n"/>
      <c r="V116" s="20" t="n"/>
      <c r="W116" s="20" t="n"/>
      <c r="X116" s="20" t="n"/>
      <c r="Y116" s="20" t="n"/>
      <c r="Z116" s="20" t="n"/>
      <c r="AA116" s="20" t="n"/>
      <c r="AB116" s="20" t="n"/>
      <c r="AC116" s="20" t="n"/>
      <c r="AD116" s="20" t="n"/>
      <c r="AE116" s="24">
        <f>IF(M116="","",TODAY()-M116)</f>
        <v/>
      </c>
      <c r="AF116" s="25">
        <f>IF(Q116="","",IF(AND(Q116&lt;TODAY(),R116&lt;&gt;"Stage X",R116&lt;&gt;"Stage 6"),"⚠️ OVERDUE",""))</f>
        <v/>
      </c>
      <c r="AG116" s="25">
        <f>IF(A116="","",IF(R116=IFERROR(VLOOKUP(A116,Pipeline!$A:$E,5,FALSE),""),"✓","⚠️ SYNC ERROR"))</f>
        <v/>
      </c>
    </row>
    <row r="117" ht="18" customHeight="1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1" t="n"/>
      <c r="L117" s="20" t="n"/>
      <c r="M117" s="21" t="n"/>
      <c r="N117" s="20" t="n"/>
      <c r="O117" s="20" t="n"/>
      <c r="P117" s="20" t="n"/>
      <c r="Q117" s="21" t="n"/>
      <c r="R117" s="20" t="n"/>
      <c r="S117" s="21" t="n"/>
      <c r="T117" s="20" t="n"/>
      <c r="U117" s="20" t="n"/>
      <c r="V117" s="20" t="n"/>
      <c r="W117" s="20" t="n"/>
      <c r="X117" s="20" t="n"/>
      <c r="Y117" s="20" t="n"/>
      <c r="Z117" s="20" t="n"/>
      <c r="AA117" s="20" t="n"/>
      <c r="AB117" s="20" t="n"/>
      <c r="AC117" s="20" t="n"/>
      <c r="AD117" s="20" t="n"/>
      <c r="AE117" s="24">
        <f>IF(M117="","",TODAY()-M117)</f>
        <v/>
      </c>
      <c r="AF117" s="25">
        <f>IF(Q117="","",IF(AND(Q117&lt;TODAY(),R117&lt;&gt;"Stage X",R117&lt;&gt;"Stage 6"),"⚠️ OVERDUE",""))</f>
        <v/>
      </c>
      <c r="AG117" s="25">
        <f>IF(A117="","",IF(R117=IFERROR(VLOOKUP(A117,Pipeline!$A:$E,5,FALSE),""),"✓","⚠️ SYNC ERROR"))</f>
        <v/>
      </c>
    </row>
    <row r="118" ht="18" customHeight="1">
      <c r="A118" s="20" t="n"/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1" t="n"/>
      <c r="L118" s="20" t="n"/>
      <c r="M118" s="21" t="n"/>
      <c r="N118" s="20" t="n"/>
      <c r="O118" s="20" t="n"/>
      <c r="P118" s="20" t="n"/>
      <c r="Q118" s="21" t="n"/>
      <c r="R118" s="20" t="n"/>
      <c r="S118" s="21" t="n"/>
      <c r="T118" s="20" t="n"/>
      <c r="U118" s="20" t="n"/>
      <c r="V118" s="20" t="n"/>
      <c r="W118" s="20" t="n"/>
      <c r="X118" s="20" t="n"/>
      <c r="Y118" s="20" t="n"/>
      <c r="Z118" s="20" t="n"/>
      <c r="AA118" s="20" t="n"/>
      <c r="AB118" s="20" t="n"/>
      <c r="AC118" s="20" t="n"/>
      <c r="AD118" s="20" t="n"/>
      <c r="AE118" s="24">
        <f>IF(M118="","",TODAY()-M118)</f>
        <v/>
      </c>
      <c r="AF118" s="25">
        <f>IF(Q118="","",IF(AND(Q118&lt;TODAY(),R118&lt;&gt;"Stage X",R118&lt;&gt;"Stage 6"),"⚠️ OVERDUE",""))</f>
        <v/>
      </c>
      <c r="AG118" s="25">
        <f>IF(A118="","",IF(R118=IFERROR(VLOOKUP(A118,Pipeline!$A:$E,5,FALSE),""),"✓","⚠️ SYNC ERROR"))</f>
        <v/>
      </c>
    </row>
    <row r="119" ht="18" customHeight="1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1" t="n"/>
      <c r="L119" s="20" t="n"/>
      <c r="M119" s="21" t="n"/>
      <c r="N119" s="20" t="n"/>
      <c r="O119" s="20" t="n"/>
      <c r="P119" s="20" t="n"/>
      <c r="Q119" s="21" t="n"/>
      <c r="R119" s="20" t="n"/>
      <c r="S119" s="21" t="n"/>
      <c r="T119" s="20" t="n"/>
      <c r="U119" s="20" t="n"/>
      <c r="V119" s="20" t="n"/>
      <c r="W119" s="20" t="n"/>
      <c r="X119" s="20" t="n"/>
      <c r="Y119" s="20" t="n"/>
      <c r="Z119" s="20" t="n"/>
      <c r="AA119" s="20" t="n"/>
      <c r="AB119" s="20" t="n"/>
      <c r="AC119" s="20" t="n"/>
      <c r="AD119" s="20" t="n"/>
      <c r="AE119" s="24">
        <f>IF(M119="","",TODAY()-M119)</f>
        <v/>
      </c>
      <c r="AF119" s="25">
        <f>IF(Q119="","",IF(AND(Q119&lt;TODAY(),R119&lt;&gt;"Stage X",R119&lt;&gt;"Stage 6"),"⚠️ OVERDUE",""))</f>
        <v/>
      </c>
      <c r="AG119" s="25">
        <f>IF(A119="","",IF(R119=IFERROR(VLOOKUP(A119,Pipeline!$A:$E,5,FALSE),""),"✓","⚠️ SYNC ERROR"))</f>
        <v/>
      </c>
    </row>
    <row r="120" ht="18" customHeight="1">
      <c r="A120" s="20" t="n"/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 t="n"/>
      <c r="K120" s="21" t="n"/>
      <c r="L120" s="20" t="n"/>
      <c r="M120" s="21" t="n"/>
      <c r="N120" s="20" t="n"/>
      <c r="O120" s="20" t="n"/>
      <c r="P120" s="20" t="n"/>
      <c r="Q120" s="21" t="n"/>
      <c r="R120" s="20" t="n"/>
      <c r="S120" s="21" t="n"/>
      <c r="T120" s="20" t="n"/>
      <c r="U120" s="20" t="n"/>
      <c r="V120" s="20" t="n"/>
      <c r="W120" s="20" t="n"/>
      <c r="X120" s="20" t="n"/>
      <c r="Y120" s="20" t="n"/>
      <c r="Z120" s="20" t="n"/>
      <c r="AA120" s="20" t="n"/>
      <c r="AB120" s="20" t="n"/>
      <c r="AC120" s="20" t="n"/>
      <c r="AD120" s="20" t="n"/>
      <c r="AE120" s="24">
        <f>IF(M120="","",TODAY()-M120)</f>
        <v/>
      </c>
      <c r="AF120" s="25">
        <f>IF(Q120="","",IF(AND(Q120&lt;TODAY(),R120&lt;&gt;"Stage X",R120&lt;&gt;"Stage 6"),"⚠️ OVERDUE",""))</f>
        <v/>
      </c>
      <c r="AG120" s="25">
        <f>IF(A120="","",IF(R120=IFERROR(VLOOKUP(A120,Pipeline!$A:$E,5,FALSE),""),"✓","⚠️ SYNC ERROR"))</f>
        <v/>
      </c>
    </row>
    <row r="121" ht="18" customHeight="1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1" t="n"/>
      <c r="L121" s="20" t="n"/>
      <c r="M121" s="21" t="n"/>
      <c r="N121" s="20" t="n"/>
      <c r="O121" s="20" t="n"/>
      <c r="P121" s="20" t="n"/>
      <c r="Q121" s="21" t="n"/>
      <c r="R121" s="20" t="n"/>
      <c r="S121" s="21" t="n"/>
      <c r="T121" s="20" t="n"/>
      <c r="U121" s="20" t="n"/>
      <c r="V121" s="20" t="n"/>
      <c r="W121" s="20" t="n"/>
      <c r="X121" s="20" t="n"/>
      <c r="Y121" s="20" t="n"/>
      <c r="Z121" s="20" t="n"/>
      <c r="AA121" s="20" t="n"/>
      <c r="AB121" s="20" t="n"/>
      <c r="AC121" s="20" t="n"/>
      <c r="AD121" s="20" t="n"/>
      <c r="AE121" s="24">
        <f>IF(M121="","",TODAY()-M121)</f>
        <v/>
      </c>
      <c r="AF121" s="25">
        <f>IF(Q121="","",IF(AND(Q121&lt;TODAY(),R121&lt;&gt;"Stage X",R121&lt;&gt;"Stage 6"),"⚠️ OVERDUE",""))</f>
        <v/>
      </c>
      <c r="AG121" s="25">
        <f>IF(A121="","",IF(R121=IFERROR(VLOOKUP(A121,Pipeline!$A:$E,5,FALSE),""),"✓","⚠️ SYNC ERROR"))</f>
        <v/>
      </c>
    </row>
    <row r="122" ht="18" customHeight="1">
      <c r="A122" s="20" t="n"/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1" t="n"/>
      <c r="L122" s="20" t="n"/>
      <c r="M122" s="21" t="n"/>
      <c r="N122" s="20" t="n"/>
      <c r="O122" s="20" t="n"/>
      <c r="P122" s="20" t="n"/>
      <c r="Q122" s="21" t="n"/>
      <c r="R122" s="20" t="n"/>
      <c r="S122" s="21" t="n"/>
      <c r="T122" s="20" t="n"/>
      <c r="U122" s="20" t="n"/>
      <c r="V122" s="20" t="n"/>
      <c r="W122" s="20" t="n"/>
      <c r="X122" s="20" t="n"/>
      <c r="Y122" s="20" t="n"/>
      <c r="Z122" s="20" t="n"/>
      <c r="AA122" s="20" t="n"/>
      <c r="AB122" s="20" t="n"/>
      <c r="AC122" s="20" t="n"/>
      <c r="AD122" s="20" t="n"/>
      <c r="AE122" s="24">
        <f>IF(M122="","",TODAY()-M122)</f>
        <v/>
      </c>
      <c r="AF122" s="25">
        <f>IF(Q122="","",IF(AND(Q122&lt;TODAY(),R122&lt;&gt;"Stage X",R122&lt;&gt;"Stage 6"),"⚠️ OVERDUE",""))</f>
        <v/>
      </c>
      <c r="AG122" s="25">
        <f>IF(A122="","",IF(R122=IFERROR(VLOOKUP(A122,Pipeline!$A:$E,5,FALSE),""),"✓","⚠️ SYNC ERROR"))</f>
        <v/>
      </c>
    </row>
    <row r="123" ht="18" customHeight="1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1" t="n"/>
      <c r="L123" s="20" t="n"/>
      <c r="M123" s="21" t="n"/>
      <c r="N123" s="20" t="n"/>
      <c r="O123" s="20" t="n"/>
      <c r="P123" s="20" t="n"/>
      <c r="Q123" s="21" t="n"/>
      <c r="R123" s="20" t="n"/>
      <c r="S123" s="21" t="n"/>
      <c r="T123" s="20" t="n"/>
      <c r="U123" s="20" t="n"/>
      <c r="V123" s="20" t="n"/>
      <c r="W123" s="20" t="n"/>
      <c r="X123" s="20" t="n"/>
      <c r="Y123" s="20" t="n"/>
      <c r="Z123" s="20" t="n"/>
      <c r="AA123" s="20" t="n"/>
      <c r="AB123" s="20" t="n"/>
      <c r="AC123" s="20" t="n"/>
      <c r="AD123" s="20" t="n"/>
      <c r="AE123" s="24">
        <f>IF(M123="","",TODAY()-M123)</f>
        <v/>
      </c>
      <c r="AF123" s="25">
        <f>IF(Q123="","",IF(AND(Q123&lt;TODAY(),R123&lt;&gt;"Stage X",R123&lt;&gt;"Stage 6"),"⚠️ OVERDUE",""))</f>
        <v/>
      </c>
      <c r="AG123" s="25">
        <f>IF(A123="","",IF(R123=IFERROR(VLOOKUP(A123,Pipeline!$A:$E,5,FALSE),""),"✓","⚠️ SYNC ERROR"))</f>
        <v/>
      </c>
    </row>
    <row r="124" ht="18" customHeight="1">
      <c r="A124" s="20" t="n"/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1" t="n"/>
      <c r="L124" s="20" t="n"/>
      <c r="M124" s="21" t="n"/>
      <c r="N124" s="20" t="n"/>
      <c r="O124" s="20" t="n"/>
      <c r="P124" s="20" t="n"/>
      <c r="Q124" s="21" t="n"/>
      <c r="R124" s="20" t="n"/>
      <c r="S124" s="21" t="n"/>
      <c r="T124" s="20" t="n"/>
      <c r="U124" s="20" t="n"/>
      <c r="V124" s="20" t="n"/>
      <c r="W124" s="20" t="n"/>
      <c r="X124" s="20" t="n"/>
      <c r="Y124" s="20" t="n"/>
      <c r="Z124" s="20" t="n"/>
      <c r="AA124" s="20" t="n"/>
      <c r="AB124" s="20" t="n"/>
      <c r="AC124" s="20" t="n"/>
      <c r="AD124" s="20" t="n"/>
      <c r="AE124" s="24">
        <f>IF(M124="","",TODAY()-M124)</f>
        <v/>
      </c>
      <c r="AF124" s="25">
        <f>IF(Q124="","",IF(AND(Q124&lt;TODAY(),R124&lt;&gt;"Stage X",R124&lt;&gt;"Stage 6"),"⚠️ OVERDUE",""))</f>
        <v/>
      </c>
      <c r="AG124" s="25">
        <f>IF(A124="","",IF(R124=IFERROR(VLOOKUP(A124,Pipeline!$A:$E,5,FALSE),""),"✓","⚠️ SYNC ERROR"))</f>
        <v/>
      </c>
    </row>
    <row r="125" ht="18" customHeight="1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1" t="n"/>
      <c r="L125" s="20" t="n"/>
      <c r="M125" s="21" t="n"/>
      <c r="N125" s="20" t="n"/>
      <c r="O125" s="20" t="n"/>
      <c r="P125" s="20" t="n"/>
      <c r="Q125" s="21" t="n"/>
      <c r="R125" s="20" t="n"/>
      <c r="S125" s="21" t="n"/>
      <c r="T125" s="20" t="n"/>
      <c r="U125" s="20" t="n"/>
      <c r="V125" s="20" t="n"/>
      <c r="W125" s="20" t="n"/>
      <c r="X125" s="20" t="n"/>
      <c r="Y125" s="20" t="n"/>
      <c r="Z125" s="20" t="n"/>
      <c r="AA125" s="20" t="n"/>
      <c r="AB125" s="20" t="n"/>
      <c r="AC125" s="20" t="n"/>
      <c r="AD125" s="20" t="n"/>
      <c r="AE125" s="24">
        <f>IF(M125="","",TODAY()-M125)</f>
        <v/>
      </c>
      <c r="AF125" s="25">
        <f>IF(Q125="","",IF(AND(Q125&lt;TODAY(),R125&lt;&gt;"Stage X",R125&lt;&gt;"Stage 6"),"⚠️ OVERDUE",""))</f>
        <v/>
      </c>
      <c r="AG125" s="25">
        <f>IF(A125="","",IF(R125=IFERROR(VLOOKUP(A125,Pipeline!$A:$E,5,FALSE),""),"✓","⚠️ SYNC ERROR"))</f>
        <v/>
      </c>
    </row>
    <row r="126" ht="18" customHeight="1">
      <c r="A126" s="20" t="n"/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1" t="n"/>
      <c r="L126" s="20" t="n"/>
      <c r="M126" s="21" t="n"/>
      <c r="N126" s="20" t="n"/>
      <c r="O126" s="20" t="n"/>
      <c r="P126" s="20" t="n"/>
      <c r="Q126" s="21" t="n"/>
      <c r="R126" s="20" t="n"/>
      <c r="S126" s="21" t="n"/>
      <c r="T126" s="20" t="n"/>
      <c r="U126" s="20" t="n"/>
      <c r="V126" s="20" t="n"/>
      <c r="W126" s="20" t="n"/>
      <c r="X126" s="20" t="n"/>
      <c r="Y126" s="20" t="n"/>
      <c r="Z126" s="20" t="n"/>
      <c r="AA126" s="20" t="n"/>
      <c r="AB126" s="20" t="n"/>
      <c r="AC126" s="20" t="n"/>
      <c r="AD126" s="20" t="n"/>
      <c r="AE126" s="24">
        <f>IF(M126="","",TODAY()-M126)</f>
        <v/>
      </c>
      <c r="AF126" s="25">
        <f>IF(Q126="","",IF(AND(Q126&lt;TODAY(),R126&lt;&gt;"Stage X",R126&lt;&gt;"Stage 6"),"⚠️ OVERDUE",""))</f>
        <v/>
      </c>
      <c r="AG126" s="25">
        <f>IF(A126="","",IF(R126=IFERROR(VLOOKUP(A126,Pipeline!$A:$E,5,FALSE),""),"✓","⚠️ SYNC ERROR"))</f>
        <v/>
      </c>
    </row>
    <row r="127" ht="18" customHeight="1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1" t="n"/>
      <c r="L127" s="20" t="n"/>
      <c r="M127" s="21" t="n"/>
      <c r="N127" s="20" t="n"/>
      <c r="O127" s="20" t="n"/>
      <c r="P127" s="20" t="n"/>
      <c r="Q127" s="21" t="n"/>
      <c r="R127" s="20" t="n"/>
      <c r="S127" s="21" t="n"/>
      <c r="T127" s="20" t="n"/>
      <c r="U127" s="20" t="n"/>
      <c r="V127" s="20" t="n"/>
      <c r="W127" s="20" t="n"/>
      <c r="X127" s="20" t="n"/>
      <c r="Y127" s="20" t="n"/>
      <c r="Z127" s="20" t="n"/>
      <c r="AA127" s="20" t="n"/>
      <c r="AB127" s="20" t="n"/>
      <c r="AC127" s="20" t="n"/>
      <c r="AD127" s="20" t="n"/>
      <c r="AE127" s="24">
        <f>IF(M127="","",TODAY()-M127)</f>
        <v/>
      </c>
      <c r="AF127" s="25">
        <f>IF(Q127="","",IF(AND(Q127&lt;TODAY(),R127&lt;&gt;"Stage X",R127&lt;&gt;"Stage 6"),"⚠️ OVERDUE",""))</f>
        <v/>
      </c>
      <c r="AG127" s="25">
        <f>IF(A127="","",IF(R127=IFERROR(VLOOKUP(A127,Pipeline!$A:$E,5,FALSE),""),"✓","⚠️ SYNC ERROR"))</f>
        <v/>
      </c>
    </row>
    <row r="128" ht="18" customHeight="1">
      <c r="A128" s="20" t="n"/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1" t="n"/>
      <c r="L128" s="20" t="n"/>
      <c r="M128" s="21" t="n"/>
      <c r="N128" s="20" t="n"/>
      <c r="O128" s="20" t="n"/>
      <c r="P128" s="20" t="n"/>
      <c r="Q128" s="21" t="n"/>
      <c r="R128" s="20" t="n"/>
      <c r="S128" s="21" t="n"/>
      <c r="T128" s="20" t="n"/>
      <c r="U128" s="20" t="n"/>
      <c r="V128" s="20" t="n"/>
      <c r="W128" s="20" t="n"/>
      <c r="X128" s="20" t="n"/>
      <c r="Y128" s="20" t="n"/>
      <c r="Z128" s="20" t="n"/>
      <c r="AA128" s="20" t="n"/>
      <c r="AB128" s="20" t="n"/>
      <c r="AC128" s="20" t="n"/>
      <c r="AD128" s="20" t="n"/>
      <c r="AE128" s="24">
        <f>IF(M128="","",TODAY()-M128)</f>
        <v/>
      </c>
      <c r="AF128" s="25">
        <f>IF(Q128="","",IF(AND(Q128&lt;TODAY(),R128&lt;&gt;"Stage X",R128&lt;&gt;"Stage 6"),"⚠️ OVERDUE",""))</f>
        <v/>
      </c>
      <c r="AG128" s="25">
        <f>IF(A128="","",IF(R128=IFERROR(VLOOKUP(A128,Pipeline!$A:$E,5,FALSE),""),"✓","⚠️ SYNC ERROR"))</f>
        <v/>
      </c>
    </row>
    <row r="129" ht="18" customHeight="1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1" t="n"/>
      <c r="L129" s="20" t="n"/>
      <c r="M129" s="21" t="n"/>
      <c r="N129" s="20" t="n"/>
      <c r="O129" s="20" t="n"/>
      <c r="P129" s="20" t="n"/>
      <c r="Q129" s="21" t="n"/>
      <c r="R129" s="20" t="n"/>
      <c r="S129" s="21" t="n"/>
      <c r="T129" s="20" t="n"/>
      <c r="U129" s="20" t="n"/>
      <c r="V129" s="20" t="n"/>
      <c r="W129" s="20" t="n"/>
      <c r="X129" s="20" t="n"/>
      <c r="Y129" s="20" t="n"/>
      <c r="Z129" s="20" t="n"/>
      <c r="AA129" s="20" t="n"/>
      <c r="AB129" s="20" t="n"/>
      <c r="AC129" s="20" t="n"/>
      <c r="AD129" s="20" t="n"/>
      <c r="AE129" s="24">
        <f>IF(M129="","",TODAY()-M129)</f>
        <v/>
      </c>
      <c r="AF129" s="25">
        <f>IF(Q129="","",IF(AND(Q129&lt;TODAY(),R129&lt;&gt;"Stage X",R129&lt;&gt;"Stage 6"),"⚠️ OVERDUE",""))</f>
        <v/>
      </c>
      <c r="AG129" s="25">
        <f>IF(A129="","",IF(R129=IFERROR(VLOOKUP(A129,Pipeline!$A:$E,5,FALSE),""),"✓","⚠️ SYNC ERROR"))</f>
        <v/>
      </c>
    </row>
    <row r="130" ht="18" customHeight="1">
      <c r="A130" s="20" t="n"/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1" t="n"/>
      <c r="L130" s="20" t="n"/>
      <c r="M130" s="21" t="n"/>
      <c r="N130" s="20" t="n"/>
      <c r="O130" s="20" t="n"/>
      <c r="P130" s="20" t="n"/>
      <c r="Q130" s="21" t="n"/>
      <c r="R130" s="20" t="n"/>
      <c r="S130" s="21" t="n"/>
      <c r="T130" s="20" t="n"/>
      <c r="U130" s="20" t="n"/>
      <c r="V130" s="20" t="n"/>
      <c r="W130" s="20" t="n"/>
      <c r="X130" s="20" t="n"/>
      <c r="Y130" s="20" t="n"/>
      <c r="Z130" s="20" t="n"/>
      <c r="AA130" s="20" t="n"/>
      <c r="AB130" s="20" t="n"/>
      <c r="AC130" s="20" t="n"/>
      <c r="AD130" s="20" t="n"/>
      <c r="AE130" s="24">
        <f>IF(M130="","",TODAY()-M130)</f>
        <v/>
      </c>
      <c r="AF130" s="25">
        <f>IF(Q130="","",IF(AND(Q130&lt;TODAY(),R130&lt;&gt;"Stage X",R130&lt;&gt;"Stage 6"),"⚠️ OVERDUE",""))</f>
        <v/>
      </c>
      <c r="AG130" s="25">
        <f>IF(A130="","",IF(R130=IFERROR(VLOOKUP(A130,Pipeline!$A:$E,5,FALSE),""),"✓","⚠️ SYNC ERROR"))</f>
        <v/>
      </c>
    </row>
    <row r="131" ht="18" customHeight="1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1" t="n"/>
      <c r="L131" s="20" t="n"/>
      <c r="M131" s="21" t="n"/>
      <c r="N131" s="20" t="n"/>
      <c r="O131" s="20" t="n"/>
      <c r="P131" s="20" t="n"/>
      <c r="Q131" s="21" t="n"/>
      <c r="R131" s="20" t="n"/>
      <c r="S131" s="21" t="n"/>
      <c r="T131" s="20" t="n"/>
      <c r="U131" s="20" t="n"/>
      <c r="V131" s="20" t="n"/>
      <c r="W131" s="20" t="n"/>
      <c r="X131" s="20" t="n"/>
      <c r="Y131" s="20" t="n"/>
      <c r="Z131" s="20" t="n"/>
      <c r="AA131" s="20" t="n"/>
      <c r="AB131" s="20" t="n"/>
      <c r="AC131" s="20" t="n"/>
      <c r="AD131" s="20" t="n"/>
      <c r="AE131" s="24">
        <f>IF(M131="","",TODAY()-M131)</f>
        <v/>
      </c>
      <c r="AF131" s="25">
        <f>IF(Q131="","",IF(AND(Q131&lt;TODAY(),R131&lt;&gt;"Stage X",R131&lt;&gt;"Stage 6"),"⚠️ OVERDUE",""))</f>
        <v/>
      </c>
      <c r="AG131" s="25">
        <f>IF(A131="","",IF(R131=IFERROR(VLOOKUP(A131,Pipeline!$A:$E,5,FALSE),""),"✓","⚠️ SYNC ERROR"))</f>
        <v/>
      </c>
    </row>
    <row r="132" ht="18" customHeight="1">
      <c r="A132" s="20" t="n"/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1" t="n"/>
      <c r="L132" s="20" t="n"/>
      <c r="M132" s="21" t="n"/>
      <c r="N132" s="20" t="n"/>
      <c r="O132" s="20" t="n"/>
      <c r="P132" s="20" t="n"/>
      <c r="Q132" s="21" t="n"/>
      <c r="R132" s="20" t="n"/>
      <c r="S132" s="21" t="n"/>
      <c r="T132" s="20" t="n"/>
      <c r="U132" s="20" t="n"/>
      <c r="V132" s="20" t="n"/>
      <c r="W132" s="20" t="n"/>
      <c r="X132" s="20" t="n"/>
      <c r="Y132" s="20" t="n"/>
      <c r="Z132" s="20" t="n"/>
      <c r="AA132" s="20" t="n"/>
      <c r="AB132" s="20" t="n"/>
      <c r="AC132" s="20" t="n"/>
      <c r="AD132" s="20" t="n"/>
      <c r="AE132" s="24">
        <f>IF(M132="","",TODAY()-M132)</f>
        <v/>
      </c>
      <c r="AF132" s="25">
        <f>IF(Q132="","",IF(AND(Q132&lt;TODAY(),R132&lt;&gt;"Stage X",R132&lt;&gt;"Stage 6"),"⚠️ OVERDUE",""))</f>
        <v/>
      </c>
      <c r="AG132" s="25">
        <f>IF(A132="","",IF(R132=IFERROR(VLOOKUP(A132,Pipeline!$A:$E,5,FALSE),""),"✓","⚠️ SYNC ERROR"))</f>
        <v/>
      </c>
    </row>
    <row r="133" ht="18" customHeight="1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1" t="n"/>
      <c r="L133" s="20" t="n"/>
      <c r="M133" s="21" t="n"/>
      <c r="N133" s="20" t="n"/>
      <c r="O133" s="20" t="n"/>
      <c r="P133" s="20" t="n"/>
      <c r="Q133" s="21" t="n"/>
      <c r="R133" s="20" t="n"/>
      <c r="S133" s="21" t="n"/>
      <c r="T133" s="20" t="n"/>
      <c r="U133" s="20" t="n"/>
      <c r="V133" s="20" t="n"/>
      <c r="W133" s="20" t="n"/>
      <c r="X133" s="20" t="n"/>
      <c r="Y133" s="20" t="n"/>
      <c r="Z133" s="20" t="n"/>
      <c r="AA133" s="20" t="n"/>
      <c r="AB133" s="20" t="n"/>
      <c r="AC133" s="20" t="n"/>
      <c r="AD133" s="20" t="n"/>
      <c r="AE133" s="24">
        <f>IF(M133="","",TODAY()-M133)</f>
        <v/>
      </c>
      <c r="AF133" s="25">
        <f>IF(Q133="","",IF(AND(Q133&lt;TODAY(),R133&lt;&gt;"Stage X",R133&lt;&gt;"Stage 6"),"⚠️ OVERDUE",""))</f>
        <v/>
      </c>
      <c r="AG133" s="25">
        <f>IF(A133="","",IF(R133=IFERROR(VLOOKUP(A133,Pipeline!$A:$E,5,FALSE),""),"✓","⚠️ SYNC ERROR"))</f>
        <v/>
      </c>
    </row>
    <row r="134" ht="18" customHeight="1">
      <c r="A134" s="20" t="n"/>
      <c r="B134" s="20" t="n"/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1" t="n"/>
      <c r="L134" s="20" t="n"/>
      <c r="M134" s="21" t="n"/>
      <c r="N134" s="20" t="n"/>
      <c r="O134" s="20" t="n"/>
      <c r="P134" s="20" t="n"/>
      <c r="Q134" s="21" t="n"/>
      <c r="R134" s="20" t="n"/>
      <c r="S134" s="21" t="n"/>
      <c r="T134" s="20" t="n"/>
      <c r="U134" s="20" t="n"/>
      <c r="V134" s="20" t="n"/>
      <c r="W134" s="20" t="n"/>
      <c r="X134" s="20" t="n"/>
      <c r="Y134" s="20" t="n"/>
      <c r="Z134" s="20" t="n"/>
      <c r="AA134" s="20" t="n"/>
      <c r="AB134" s="20" t="n"/>
      <c r="AC134" s="20" t="n"/>
      <c r="AD134" s="20" t="n"/>
      <c r="AE134" s="24">
        <f>IF(M134="","",TODAY()-M134)</f>
        <v/>
      </c>
      <c r="AF134" s="25">
        <f>IF(Q134="","",IF(AND(Q134&lt;TODAY(),R134&lt;&gt;"Stage X",R134&lt;&gt;"Stage 6"),"⚠️ OVERDUE",""))</f>
        <v/>
      </c>
      <c r="AG134" s="25">
        <f>IF(A134="","",IF(R134=IFERROR(VLOOKUP(A134,Pipeline!$A:$E,5,FALSE),""),"✓","⚠️ SYNC ERROR"))</f>
        <v/>
      </c>
    </row>
    <row r="135" ht="18" customHeight="1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1" t="n"/>
      <c r="L135" s="20" t="n"/>
      <c r="M135" s="21" t="n"/>
      <c r="N135" s="20" t="n"/>
      <c r="O135" s="20" t="n"/>
      <c r="P135" s="20" t="n"/>
      <c r="Q135" s="21" t="n"/>
      <c r="R135" s="20" t="n"/>
      <c r="S135" s="21" t="n"/>
      <c r="T135" s="20" t="n"/>
      <c r="U135" s="20" t="n"/>
      <c r="V135" s="20" t="n"/>
      <c r="W135" s="20" t="n"/>
      <c r="X135" s="20" t="n"/>
      <c r="Y135" s="20" t="n"/>
      <c r="Z135" s="20" t="n"/>
      <c r="AA135" s="20" t="n"/>
      <c r="AB135" s="20" t="n"/>
      <c r="AC135" s="20" t="n"/>
      <c r="AD135" s="20" t="n"/>
      <c r="AE135" s="24">
        <f>IF(M135="","",TODAY()-M135)</f>
        <v/>
      </c>
      <c r="AF135" s="25">
        <f>IF(Q135="","",IF(AND(Q135&lt;TODAY(),R135&lt;&gt;"Stage X",R135&lt;&gt;"Stage 6"),"⚠️ OVERDUE",""))</f>
        <v/>
      </c>
      <c r="AG135" s="25">
        <f>IF(A135="","",IF(R135=IFERROR(VLOOKUP(A135,Pipeline!$A:$E,5,FALSE),""),"✓","⚠️ SYNC ERROR"))</f>
        <v/>
      </c>
    </row>
    <row r="136" ht="18" customHeight="1">
      <c r="A136" s="20" t="n"/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1" t="n"/>
      <c r="L136" s="20" t="n"/>
      <c r="M136" s="21" t="n"/>
      <c r="N136" s="20" t="n"/>
      <c r="O136" s="20" t="n"/>
      <c r="P136" s="20" t="n"/>
      <c r="Q136" s="21" t="n"/>
      <c r="R136" s="20" t="n"/>
      <c r="S136" s="21" t="n"/>
      <c r="T136" s="20" t="n"/>
      <c r="U136" s="20" t="n"/>
      <c r="V136" s="20" t="n"/>
      <c r="W136" s="20" t="n"/>
      <c r="X136" s="20" t="n"/>
      <c r="Y136" s="20" t="n"/>
      <c r="Z136" s="20" t="n"/>
      <c r="AA136" s="20" t="n"/>
      <c r="AB136" s="20" t="n"/>
      <c r="AC136" s="20" t="n"/>
      <c r="AD136" s="20" t="n"/>
      <c r="AE136" s="24">
        <f>IF(M136="","",TODAY()-M136)</f>
        <v/>
      </c>
      <c r="AF136" s="25">
        <f>IF(Q136="","",IF(AND(Q136&lt;TODAY(),R136&lt;&gt;"Stage X",R136&lt;&gt;"Stage 6"),"⚠️ OVERDUE",""))</f>
        <v/>
      </c>
      <c r="AG136" s="25">
        <f>IF(A136="","",IF(R136=IFERROR(VLOOKUP(A136,Pipeline!$A:$E,5,FALSE),""),"✓","⚠️ SYNC ERROR"))</f>
        <v/>
      </c>
    </row>
    <row r="137" ht="18" customHeight="1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1" t="n"/>
      <c r="L137" s="20" t="n"/>
      <c r="M137" s="21" t="n"/>
      <c r="N137" s="20" t="n"/>
      <c r="O137" s="20" t="n"/>
      <c r="P137" s="20" t="n"/>
      <c r="Q137" s="21" t="n"/>
      <c r="R137" s="20" t="n"/>
      <c r="S137" s="21" t="n"/>
      <c r="T137" s="20" t="n"/>
      <c r="U137" s="20" t="n"/>
      <c r="V137" s="20" t="n"/>
      <c r="W137" s="20" t="n"/>
      <c r="X137" s="20" t="n"/>
      <c r="Y137" s="20" t="n"/>
      <c r="Z137" s="20" t="n"/>
      <c r="AA137" s="20" t="n"/>
      <c r="AB137" s="20" t="n"/>
      <c r="AC137" s="20" t="n"/>
      <c r="AD137" s="20" t="n"/>
      <c r="AE137" s="24">
        <f>IF(M137="","",TODAY()-M137)</f>
        <v/>
      </c>
      <c r="AF137" s="25">
        <f>IF(Q137="","",IF(AND(Q137&lt;TODAY(),R137&lt;&gt;"Stage X",R137&lt;&gt;"Stage 6"),"⚠️ OVERDUE",""))</f>
        <v/>
      </c>
      <c r="AG137" s="25">
        <f>IF(A137="","",IF(R137=IFERROR(VLOOKUP(A137,Pipeline!$A:$E,5,FALSE),""),"✓","⚠️ SYNC ERROR"))</f>
        <v/>
      </c>
    </row>
    <row r="138" ht="18" customHeight="1">
      <c r="A138" s="20" t="n"/>
      <c r="B138" s="20" t="n"/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1" t="n"/>
      <c r="L138" s="20" t="n"/>
      <c r="M138" s="21" t="n"/>
      <c r="N138" s="20" t="n"/>
      <c r="O138" s="20" t="n"/>
      <c r="P138" s="20" t="n"/>
      <c r="Q138" s="21" t="n"/>
      <c r="R138" s="20" t="n"/>
      <c r="S138" s="21" t="n"/>
      <c r="T138" s="20" t="n"/>
      <c r="U138" s="20" t="n"/>
      <c r="V138" s="20" t="n"/>
      <c r="W138" s="20" t="n"/>
      <c r="X138" s="20" t="n"/>
      <c r="Y138" s="20" t="n"/>
      <c r="Z138" s="20" t="n"/>
      <c r="AA138" s="20" t="n"/>
      <c r="AB138" s="20" t="n"/>
      <c r="AC138" s="20" t="n"/>
      <c r="AD138" s="20" t="n"/>
      <c r="AE138" s="24">
        <f>IF(M138="","",TODAY()-M138)</f>
        <v/>
      </c>
      <c r="AF138" s="25">
        <f>IF(Q138="","",IF(AND(Q138&lt;TODAY(),R138&lt;&gt;"Stage X",R138&lt;&gt;"Stage 6"),"⚠️ OVERDUE",""))</f>
        <v/>
      </c>
      <c r="AG138" s="25">
        <f>IF(A138="","",IF(R138=IFERROR(VLOOKUP(A138,Pipeline!$A:$E,5,FALSE),""),"✓","⚠️ SYNC ERROR"))</f>
        <v/>
      </c>
    </row>
    <row r="139" ht="18" customHeight="1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1" t="n"/>
      <c r="L139" s="20" t="n"/>
      <c r="M139" s="21" t="n"/>
      <c r="N139" s="20" t="n"/>
      <c r="O139" s="20" t="n"/>
      <c r="P139" s="20" t="n"/>
      <c r="Q139" s="21" t="n"/>
      <c r="R139" s="20" t="n"/>
      <c r="S139" s="21" t="n"/>
      <c r="T139" s="20" t="n"/>
      <c r="U139" s="20" t="n"/>
      <c r="V139" s="20" t="n"/>
      <c r="W139" s="20" t="n"/>
      <c r="X139" s="20" t="n"/>
      <c r="Y139" s="20" t="n"/>
      <c r="Z139" s="20" t="n"/>
      <c r="AA139" s="20" t="n"/>
      <c r="AB139" s="20" t="n"/>
      <c r="AC139" s="20" t="n"/>
      <c r="AD139" s="20" t="n"/>
      <c r="AE139" s="24">
        <f>IF(M139="","",TODAY()-M139)</f>
        <v/>
      </c>
      <c r="AF139" s="25">
        <f>IF(Q139="","",IF(AND(Q139&lt;TODAY(),R139&lt;&gt;"Stage X",R139&lt;&gt;"Stage 6"),"⚠️ OVERDUE",""))</f>
        <v/>
      </c>
      <c r="AG139" s="25">
        <f>IF(A139="","",IF(R139=IFERROR(VLOOKUP(A139,Pipeline!$A:$E,5,FALSE),""),"✓","⚠️ SYNC ERROR"))</f>
        <v/>
      </c>
    </row>
    <row r="140" ht="18" customHeight="1">
      <c r="A140" s="20" t="n"/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1" t="n"/>
      <c r="L140" s="20" t="n"/>
      <c r="M140" s="21" t="n"/>
      <c r="N140" s="20" t="n"/>
      <c r="O140" s="20" t="n"/>
      <c r="P140" s="20" t="n"/>
      <c r="Q140" s="21" t="n"/>
      <c r="R140" s="20" t="n"/>
      <c r="S140" s="21" t="n"/>
      <c r="T140" s="20" t="n"/>
      <c r="U140" s="20" t="n"/>
      <c r="V140" s="20" t="n"/>
      <c r="W140" s="20" t="n"/>
      <c r="X140" s="20" t="n"/>
      <c r="Y140" s="20" t="n"/>
      <c r="Z140" s="20" t="n"/>
      <c r="AA140" s="20" t="n"/>
      <c r="AB140" s="20" t="n"/>
      <c r="AC140" s="20" t="n"/>
      <c r="AD140" s="20" t="n"/>
      <c r="AE140" s="24">
        <f>IF(M140="","",TODAY()-M140)</f>
        <v/>
      </c>
      <c r="AF140" s="25">
        <f>IF(Q140="","",IF(AND(Q140&lt;TODAY(),R140&lt;&gt;"Stage X",R140&lt;&gt;"Stage 6"),"⚠️ OVERDUE",""))</f>
        <v/>
      </c>
      <c r="AG140" s="25">
        <f>IF(A140="","",IF(R140=IFERROR(VLOOKUP(A140,Pipeline!$A:$E,5,FALSE),""),"✓","⚠️ SYNC ERROR"))</f>
        <v/>
      </c>
    </row>
    <row r="141" ht="18" customHeight="1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1" t="n"/>
      <c r="L141" s="20" t="n"/>
      <c r="M141" s="21" t="n"/>
      <c r="N141" s="20" t="n"/>
      <c r="O141" s="20" t="n"/>
      <c r="P141" s="20" t="n"/>
      <c r="Q141" s="21" t="n"/>
      <c r="R141" s="20" t="n"/>
      <c r="S141" s="21" t="n"/>
      <c r="T141" s="20" t="n"/>
      <c r="U141" s="20" t="n"/>
      <c r="V141" s="20" t="n"/>
      <c r="W141" s="20" t="n"/>
      <c r="X141" s="20" t="n"/>
      <c r="Y141" s="20" t="n"/>
      <c r="Z141" s="20" t="n"/>
      <c r="AA141" s="20" t="n"/>
      <c r="AB141" s="20" t="n"/>
      <c r="AC141" s="20" t="n"/>
      <c r="AD141" s="20" t="n"/>
      <c r="AE141" s="24">
        <f>IF(M141="","",TODAY()-M141)</f>
        <v/>
      </c>
      <c r="AF141" s="25">
        <f>IF(Q141="","",IF(AND(Q141&lt;TODAY(),R141&lt;&gt;"Stage X",R141&lt;&gt;"Stage 6"),"⚠️ OVERDUE",""))</f>
        <v/>
      </c>
      <c r="AG141" s="25">
        <f>IF(A141="","",IF(R141=IFERROR(VLOOKUP(A141,Pipeline!$A:$E,5,FALSE),""),"✓","⚠️ SYNC ERROR"))</f>
        <v/>
      </c>
    </row>
    <row r="142" ht="18" customHeight="1">
      <c r="A142" s="20" t="n"/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1" t="n"/>
      <c r="L142" s="20" t="n"/>
      <c r="M142" s="21" t="n"/>
      <c r="N142" s="20" t="n"/>
      <c r="O142" s="20" t="n"/>
      <c r="P142" s="20" t="n"/>
      <c r="Q142" s="21" t="n"/>
      <c r="R142" s="20" t="n"/>
      <c r="S142" s="21" t="n"/>
      <c r="T142" s="20" t="n"/>
      <c r="U142" s="20" t="n"/>
      <c r="V142" s="20" t="n"/>
      <c r="W142" s="20" t="n"/>
      <c r="X142" s="20" t="n"/>
      <c r="Y142" s="20" t="n"/>
      <c r="Z142" s="20" t="n"/>
      <c r="AA142" s="20" t="n"/>
      <c r="AB142" s="20" t="n"/>
      <c r="AC142" s="20" t="n"/>
      <c r="AD142" s="20" t="n"/>
      <c r="AE142" s="24">
        <f>IF(M142="","",TODAY()-M142)</f>
        <v/>
      </c>
      <c r="AF142" s="25">
        <f>IF(Q142="","",IF(AND(Q142&lt;TODAY(),R142&lt;&gt;"Stage X",R142&lt;&gt;"Stage 6"),"⚠️ OVERDUE",""))</f>
        <v/>
      </c>
      <c r="AG142" s="25">
        <f>IF(A142="","",IF(R142=IFERROR(VLOOKUP(A142,Pipeline!$A:$E,5,FALSE),""),"✓","⚠️ SYNC ERROR"))</f>
        <v/>
      </c>
    </row>
    <row r="143" ht="18" customHeight="1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1" t="n"/>
      <c r="L143" s="20" t="n"/>
      <c r="M143" s="21" t="n"/>
      <c r="N143" s="20" t="n"/>
      <c r="O143" s="20" t="n"/>
      <c r="P143" s="20" t="n"/>
      <c r="Q143" s="21" t="n"/>
      <c r="R143" s="20" t="n"/>
      <c r="S143" s="21" t="n"/>
      <c r="T143" s="20" t="n"/>
      <c r="U143" s="20" t="n"/>
      <c r="V143" s="20" t="n"/>
      <c r="W143" s="20" t="n"/>
      <c r="X143" s="20" t="n"/>
      <c r="Y143" s="20" t="n"/>
      <c r="Z143" s="20" t="n"/>
      <c r="AA143" s="20" t="n"/>
      <c r="AB143" s="20" t="n"/>
      <c r="AC143" s="20" t="n"/>
      <c r="AD143" s="20" t="n"/>
      <c r="AE143" s="24">
        <f>IF(M143="","",TODAY()-M143)</f>
        <v/>
      </c>
      <c r="AF143" s="25">
        <f>IF(Q143="","",IF(AND(Q143&lt;TODAY(),R143&lt;&gt;"Stage X",R143&lt;&gt;"Stage 6"),"⚠️ OVERDUE",""))</f>
        <v/>
      </c>
      <c r="AG143" s="25">
        <f>IF(A143="","",IF(R143=IFERROR(VLOOKUP(A143,Pipeline!$A:$E,5,FALSE),""),"✓","⚠️ SYNC ERROR"))</f>
        <v/>
      </c>
    </row>
    <row r="144" ht="18" customHeight="1">
      <c r="A144" s="20" t="n"/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1" t="n"/>
      <c r="L144" s="20" t="n"/>
      <c r="M144" s="21" t="n"/>
      <c r="N144" s="20" t="n"/>
      <c r="O144" s="20" t="n"/>
      <c r="P144" s="20" t="n"/>
      <c r="Q144" s="21" t="n"/>
      <c r="R144" s="20" t="n"/>
      <c r="S144" s="21" t="n"/>
      <c r="T144" s="20" t="n"/>
      <c r="U144" s="20" t="n"/>
      <c r="V144" s="20" t="n"/>
      <c r="W144" s="20" t="n"/>
      <c r="X144" s="20" t="n"/>
      <c r="Y144" s="20" t="n"/>
      <c r="Z144" s="20" t="n"/>
      <c r="AA144" s="20" t="n"/>
      <c r="AB144" s="20" t="n"/>
      <c r="AC144" s="20" t="n"/>
      <c r="AD144" s="20" t="n"/>
      <c r="AE144" s="24">
        <f>IF(M144="","",TODAY()-M144)</f>
        <v/>
      </c>
      <c r="AF144" s="25">
        <f>IF(Q144="","",IF(AND(Q144&lt;TODAY(),R144&lt;&gt;"Stage X",R144&lt;&gt;"Stage 6"),"⚠️ OVERDUE",""))</f>
        <v/>
      </c>
      <c r="AG144" s="25">
        <f>IF(A144="","",IF(R144=IFERROR(VLOOKUP(A144,Pipeline!$A:$E,5,FALSE),""),"✓","⚠️ SYNC ERROR"))</f>
        <v/>
      </c>
    </row>
    <row r="145" ht="18" customHeight="1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1" t="n"/>
      <c r="L145" s="20" t="n"/>
      <c r="M145" s="21" t="n"/>
      <c r="N145" s="20" t="n"/>
      <c r="O145" s="20" t="n"/>
      <c r="P145" s="20" t="n"/>
      <c r="Q145" s="21" t="n"/>
      <c r="R145" s="20" t="n"/>
      <c r="S145" s="21" t="n"/>
      <c r="T145" s="20" t="n"/>
      <c r="U145" s="20" t="n"/>
      <c r="V145" s="20" t="n"/>
      <c r="W145" s="20" t="n"/>
      <c r="X145" s="20" t="n"/>
      <c r="Y145" s="20" t="n"/>
      <c r="Z145" s="20" t="n"/>
      <c r="AA145" s="20" t="n"/>
      <c r="AB145" s="20" t="n"/>
      <c r="AC145" s="20" t="n"/>
      <c r="AD145" s="20" t="n"/>
      <c r="AE145" s="24">
        <f>IF(M145="","",TODAY()-M145)</f>
        <v/>
      </c>
      <c r="AF145" s="25">
        <f>IF(Q145="","",IF(AND(Q145&lt;TODAY(),R145&lt;&gt;"Stage X",R145&lt;&gt;"Stage 6"),"⚠️ OVERDUE",""))</f>
        <v/>
      </c>
      <c r="AG145" s="25">
        <f>IF(A145="","",IF(R145=IFERROR(VLOOKUP(A145,Pipeline!$A:$E,5,FALSE),""),"✓","⚠️ SYNC ERROR"))</f>
        <v/>
      </c>
    </row>
    <row r="146" ht="18" customHeight="1">
      <c r="A146" s="20" t="n"/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1" t="n"/>
      <c r="L146" s="20" t="n"/>
      <c r="M146" s="21" t="n"/>
      <c r="N146" s="20" t="n"/>
      <c r="O146" s="20" t="n"/>
      <c r="P146" s="20" t="n"/>
      <c r="Q146" s="21" t="n"/>
      <c r="R146" s="20" t="n"/>
      <c r="S146" s="21" t="n"/>
      <c r="T146" s="20" t="n"/>
      <c r="U146" s="20" t="n"/>
      <c r="V146" s="20" t="n"/>
      <c r="W146" s="20" t="n"/>
      <c r="X146" s="20" t="n"/>
      <c r="Y146" s="20" t="n"/>
      <c r="Z146" s="20" t="n"/>
      <c r="AA146" s="20" t="n"/>
      <c r="AB146" s="20" t="n"/>
      <c r="AC146" s="20" t="n"/>
      <c r="AD146" s="20" t="n"/>
      <c r="AE146" s="24">
        <f>IF(M146="","",TODAY()-M146)</f>
        <v/>
      </c>
      <c r="AF146" s="25">
        <f>IF(Q146="","",IF(AND(Q146&lt;TODAY(),R146&lt;&gt;"Stage X",R146&lt;&gt;"Stage 6"),"⚠️ OVERDUE",""))</f>
        <v/>
      </c>
      <c r="AG146" s="25">
        <f>IF(A146="","",IF(R146=IFERROR(VLOOKUP(A146,Pipeline!$A:$E,5,FALSE),""),"✓","⚠️ SYNC ERROR"))</f>
        <v/>
      </c>
    </row>
    <row r="147" ht="18" customHeight="1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1" t="n"/>
      <c r="L147" s="20" t="n"/>
      <c r="M147" s="21" t="n"/>
      <c r="N147" s="20" t="n"/>
      <c r="O147" s="20" t="n"/>
      <c r="P147" s="20" t="n"/>
      <c r="Q147" s="21" t="n"/>
      <c r="R147" s="20" t="n"/>
      <c r="S147" s="21" t="n"/>
      <c r="T147" s="20" t="n"/>
      <c r="U147" s="20" t="n"/>
      <c r="V147" s="20" t="n"/>
      <c r="W147" s="20" t="n"/>
      <c r="X147" s="20" t="n"/>
      <c r="Y147" s="20" t="n"/>
      <c r="Z147" s="20" t="n"/>
      <c r="AA147" s="20" t="n"/>
      <c r="AB147" s="20" t="n"/>
      <c r="AC147" s="20" t="n"/>
      <c r="AD147" s="20" t="n"/>
      <c r="AE147" s="24">
        <f>IF(M147="","",TODAY()-M147)</f>
        <v/>
      </c>
      <c r="AF147" s="25">
        <f>IF(Q147="","",IF(AND(Q147&lt;TODAY(),R147&lt;&gt;"Stage X",R147&lt;&gt;"Stage 6"),"⚠️ OVERDUE",""))</f>
        <v/>
      </c>
      <c r="AG147" s="25">
        <f>IF(A147="","",IF(R147=IFERROR(VLOOKUP(A147,Pipeline!$A:$E,5,FALSE),""),"✓","⚠️ SYNC ERROR"))</f>
        <v/>
      </c>
    </row>
    <row r="148" ht="18" customHeight="1">
      <c r="A148" s="20" t="n"/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1" t="n"/>
      <c r="L148" s="20" t="n"/>
      <c r="M148" s="21" t="n"/>
      <c r="N148" s="20" t="n"/>
      <c r="O148" s="20" t="n"/>
      <c r="P148" s="20" t="n"/>
      <c r="Q148" s="21" t="n"/>
      <c r="R148" s="20" t="n"/>
      <c r="S148" s="21" t="n"/>
      <c r="T148" s="20" t="n"/>
      <c r="U148" s="20" t="n"/>
      <c r="V148" s="20" t="n"/>
      <c r="W148" s="20" t="n"/>
      <c r="X148" s="20" t="n"/>
      <c r="Y148" s="20" t="n"/>
      <c r="Z148" s="20" t="n"/>
      <c r="AA148" s="20" t="n"/>
      <c r="AB148" s="20" t="n"/>
      <c r="AC148" s="20" t="n"/>
      <c r="AD148" s="20" t="n"/>
      <c r="AE148" s="24">
        <f>IF(M148="","",TODAY()-M148)</f>
        <v/>
      </c>
      <c r="AF148" s="25">
        <f>IF(Q148="","",IF(AND(Q148&lt;TODAY(),R148&lt;&gt;"Stage X",R148&lt;&gt;"Stage 6"),"⚠️ OVERDUE",""))</f>
        <v/>
      </c>
      <c r="AG148" s="25">
        <f>IF(A148="","",IF(R148=IFERROR(VLOOKUP(A148,Pipeline!$A:$E,5,FALSE),""),"✓","⚠️ SYNC ERROR"))</f>
        <v/>
      </c>
    </row>
    <row r="149" ht="18" customHeight="1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1" t="n"/>
      <c r="L149" s="20" t="n"/>
      <c r="M149" s="21" t="n"/>
      <c r="N149" s="20" t="n"/>
      <c r="O149" s="20" t="n"/>
      <c r="P149" s="20" t="n"/>
      <c r="Q149" s="21" t="n"/>
      <c r="R149" s="20" t="n"/>
      <c r="S149" s="21" t="n"/>
      <c r="T149" s="20" t="n"/>
      <c r="U149" s="20" t="n"/>
      <c r="V149" s="20" t="n"/>
      <c r="W149" s="20" t="n"/>
      <c r="X149" s="20" t="n"/>
      <c r="Y149" s="20" t="n"/>
      <c r="Z149" s="20" t="n"/>
      <c r="AA149" s="20" t="n"/>
      <c r="AB149" s="20" t="n"/>
      <c r="AC149" s="20" t="n"/>
      <c r="AD149" s="20" t="n"/>
      <c r="AE149" s="24">
        <f>IF(M149="","",TODAY()-M149)</f>
        <v/>
      </c>
      <c r="AF149" s="25">
        <f>IF(Q149="","",IF(AND(Q149&lt;TODAY(),R149&lt;&gt;"Stage X",R149&lt;&gt;"Stage 6"),"⚠️ OVERDUE",""))</f>
        <v/>
      </c>
      <c r="AG149" s="25">
        <f>IF(A149="","",IF(R149=IFERROR(VLOOKUP(A149,Pipeline!$A:$E,5,FALSE),""),"✓","⚠️ SYNC ERROR"))</f>
        <v/>
      </c>
    </row>
    <row r="150" ht="18" customHeight="1">
      <c r="A150" s="20" t="n"/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1" t="n"/>
      <c r="L150" s="20" t="n"/>
      <c r="M150" s="21" t="n"/>
      <c r="N150" s="20" t="n"/>
      <c r="O150" s="20" t="n"/>
      <c r="P150" s="20" t="n"/>
      <c r="Q150" s="21" t="n"/>
      <c r="R150" s="20" t="n"/>
      <c r="S150" s="21" t="n"/>
      <c r="T150" s="20" t="n"/>
      <c r="U150" s="20" t="n"/>
      <c r="V150" s="20" t="n"/>
      <c r="W150" s="20" t="n"/>
      <c r="X150" s="20" t="n"/>
      <c r="Y150" s="20" t="n"/>
      <c r="Z150" s="20" t="n"/>
      <c r="AA150" s="20" t="n"/>
      <c r="AB150" s="20" t="n"/>
      <c r="AC150" s="20" t="n"/>
      <c r="AD150" s="20" t="n"/>
      <c r="AE150" s="24">
        <f>IF(M150="","",TODAY()-M150)</f>
        <v/>
      </c>
      <c r="AF150" s="25">
        <f>IF(Q150="","",IF(AND(Q150&lt;TODAY(),R150&lt;&gt;"Stage X",R150&lt;&gt;"Stage 6"),"⚠️ OVERDUE",""))</f>
        <v/>
      </c>
      <c r="AG150" s="25">
        <f>IF(A150="","",IF(R150=IFERROR(VLOOKUP(A150,Pipeline!$A:$E,5,FALSE),""),"✓","⚠️ SYNC ERROR"))</f>
        <v/>
      </c>
    </row>
    <row r="151" ht="18" customHeight="1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1" t="n"/>
      <c r="L151" s="20" t="n"/>
      <c r="M151" s="21" t="n"/>
      <c r="N151" s="20" t="n"/>
      <c r="O151" s="20" t="n"/>
      <c r="P151" s="20" t="n"/>
      <c r="Q151" s="21" t="n"/>
      <c r="R151" s="20" t="n"/>
      <c r="S151" s="21" t="n"/>
      <c r="T151" s="20" t="n"/>
      <c r="U151" s="20" t="n"/>
      <c r="V151" s="20" t="n"/>
      <c r="W151" s="20" t="n"/>
      <c r="X151" s="20" t="n"/>
      <c r="Y151" s="20" t="n"/>
      <c r="Z151" s="20" t="n"/>
      <c r="AA151" s="20" t="n"/>
      <c r="AB151" s="20" t="n"/>
      <c r="AC151" s="20" t="n"/>
      <c r="AD151" s="20" t="n"/>
      <c r="AE151" s="24">
        <f>IF(M151="","",TODAY()-M151)</f>
        <v/>
      </c>
      <c r="AF151" s="25">
        <f>IF(Q151="","",IF(AND(Q151&lt;TODAY(),R151&lt;&gt;"Stage X",R151&lt;&gt;"Stage 6"),"⚠️ OVERDUE",""))</f>
        <v/>
      </c>
      <c r="AG151" s="25">
        <f>IF(A151="","",IF(R151=IFERROR(VLOOKUP(A151,Pipeline!$A:$E,5,FALSE),""),"✓","⚠️ SYNC ERROR"))</f>
        <v/>
      </c>
    </row>
    <row r="152" ht="18" customHeight="1">
      <c r="A152" s="20" t="n"/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1" t="n"/>
      <c r="L152" s="20" t="n"/>
      <c r="M152" s="21" t="n"/>
      <c r="N152" s="20" t="n"/>
      <c r="O152" s="20" t="n"/>
      <c r="P152" s="20" t="n"/>
      <c r="Q152" s="21" t="n"/>
      <c r="R152" s="20" t="n"/>
      <c r="S152" s="21" t="n"/>
      <c r="T152" s="20" t="n"/>
      <c r="U152" s="20" t="n"/>
      <c r="V152" s="20" t="n"/>
      <c r="W152" s="20" t="n"/>
      <c r="X152" s="20" t="n"/>
      <c r="Y152" s="20" t="n"/>
      <c r="Z152" s="20" t="n"/>
      <c r="AA152" s="20" t="n"/>
      <c r="AB152" s="20" t="n"/>
      <c r="AC152" s="20" t="n"/>
      <c r="AD152" s="20" t="n"/>
      <c r="AE152" s="24">
        <f>IF(M152="","",TODAY()-M152)</f>
        <v/>
      </c>
      <c r="AF152" s="25">
        <f>IF(Q152="","",IF(AND(Q152&lt;TODAY(),R152&lt;&gt;"Stage X",R152&lt;&gt;"Stage 6"),"⚠️ OVERDUE",""))</f>
        <v/>
      </c>
      <c r="AG152" s="25">
        <f>IF(A152="","",IF(R152=IFERROR(VLOOKUP(A152,Pipeline!$A:$E,5,FALSE),""),"✓","⚠️ SYNC ERROR"))</f>
        <v/>
      </c>
    </row>
    <row r="153" ht="18" customHeight="1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1" t="n"/>
      <c r="L153" s="20" t="n"/>
      <c r="M153" s="21" t="n"/>
      <c r="N153" s="20" t="n"/>
      <c r="O153" s="20" t="n"/>
      <c r="P153" s="20" t="n"/>
      <c r="Q153" s="21" t="n"/>
      <c r="R153" s="20" t="n"/>
      <c r="S153" s="21" t="n"/>
      <c r="T153" s="20" t="n"/>
      <c r="U153" s="20" t="n"/>
      <c r="V153" s="20" t="n"/>
      <c r="W153" s="20" t="n"/>
      <c r="X153" s="20" t="n"/>
      <c r="Y153" s="20" t="n"/>
      <c r="Z153" s="20" t="n"/>
      <c r="AA153" s="20" t="n"/>
      <c r="AB153" s="20" t="n"/>
      <c r="AC153" s="20" t="n"/>
      <c r="AD153" s="20" t="n"/>
      <c r="AE153" s="24">
        <f>IF(M153="","",TODAY()-M153)</f>
        <v/>
      </c>
      <c r="AF153" s="25">
        <f>IF(Q153="","",IF(AND(Q153&lt;TODAY(),R153&lt;&gt;"Stage X",R153&lt;&gt;"Stage 6"),"⚠️ OVERDUE",""))</f>
        <v/>
      </c>
      <c r="AG153" s="25">
        <f>IF(A153="","",IF(R153=IFERROR(VLOOKUP(A153,Pipeline!$A:$E,5,FALSE),""),"✓","⚠️ SYNC ERROR"))</f>
        <v/>
      </c>
    </row>
    <row r="154" ht="18" customHeight="1">
      <c r="A154" s="20" t="n"/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0" t="n"/>
      <c r="K154" s="21" t="n"/>
      <c r="L154" s="20" t="n"/>
      <c r="M154" s="21" t="n"/>
      <c r="N154" s="20" t="n"/>
      <c r="O154" s="20" t="n"/>
      <c r="P154" s="20" t="n"/>
      <c r="Q154" s="21" t="n"/>
      <c r="R154" s="20" t="n"/>
      <c r="S154" s="21" t="n"/>
      <c r="T154" s="20" t="n"/>
      <c r="U154" s="20" t="n"/>
      <c r="V154" s="20" t="n"/>
      <c r="W154" s="20" t="n"/>
      <c r="X154" s="20" t="n"/>
      <c r="Y154" s="20" t="n"/>
      <c r="Z154" s="20" t="n"/>
      <c r="AA154" s="20" t="n"/>
      <c r="AB154" s="20" t="n"/>
      <c r="AC154" s="20" t="n"/>
      <c r="AD154" s="20" t="n"/>
      <c r="AE154" s="24">
        <f>IF(M154="","",TODAY()-M154)</f>
        <v/>
      </c>
      <c r="AF154" s="25">
        <f>IF(Q154="","",IF(AND(Q154&lt;TODAY(),R154&lt;&gt;"Stage X",R154&lt;&gt;"Stage 6"),"⚠️ OVERDUE",""))</f>
        <v/>
      </c>
      <c r="AG154" s="25">
        <f>IF(A154="","",IF(R154=IFERROR(VLOOKUP(A154,Pipeline!$A:$E,5,FALSE),""),"✓","⚠️ SYNC ERROR"))</f>
        <v/>
      </c>
    </row>
    <row r="155" ht="18" customHeight="1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1" t="n"/>
      <c r="L155" s="20" t="n"/>
      <c r="M155" s="21" t="n"/>
      <c r="N155" s="20" t="n"/>
      <c r="O155" s="20" t="n"/>
      <c r="P155" s="20" t="n"/>
      <c r="Q155" s="21" t="n"/>
      <c r="R155" s="20" t="n"/>
      <c r="S155" s="21" t="n"/>
      <c r="T155" s="20" t="n"/>
      <c r="U155" s="20" t="n"/>
      <c r="V155" s="20" t="n"/>
      <c r="W155" s="20" t="n"/>
      <c r="X155" s="20" t="n"/>
      <c r="Y155" s="20" t="n"/>
      <c r="Z155" s="20" t="n"/>
      <c r="AA155" s="20" t="n"/>
      <c r="AB155" s="20" t="n"/>
      <c r="AC155" s="20" t="n"/>
      <c r="AD155" s="20" t="n"/>
      <c r="AE155" s="24">
        <f>IF(M155="","",TODAY()-M155)</f>
        <v/>
      </c>
      <c r="AF155" s="25">
        <f>IF(Q155="","",IF(AND(Q155&lt;TODAY(),R155&lt;&gt;"Stage X",R155&lt;&gt;"Stage 6"),"⚠️ OVERDUE",""))</f>
        <v/>
      </c>
      <c r="AG155" s="25">
        <f>IF(A155="","",IF(R155=IFERROR(VLOOKUP(A155,Pipeline!$A:$E,5,FALSE),""),"✓","⚠️ SYNC ERROR"))</f>
        <v/>
      </c>
    </row>
    <row r="156" ht="18" customHeight="1">
      <c r="A156" s="20" t="n"/>
      <c r="B156" s="20" t="n"/>
      <c r="C156" s="20" t="n"/>
      <c r="D156" s="20" t="n"/>
      <c r="E156" s="20" t="n"/>
      <c r="F156" s="20" t="n"/>
      <c r="G156" s="20" t="n"/>
      <c r="H156" s="20" t="n"/>
      <c r="I156" s="20" t="n"/>
      <c r="J156" s="20" t="n"/>
      <c r="K156" s="21" t="n"/>
      <c r="L156" s="20" t="n"/>
      <c r="M156" s="21" t="n"/>
      <c r="N156" s="20" t="n"/>
      <c r="O156" s="20" t="n"/>
      <c r="P156" s="20" t="n"/>
      <c r="Q156" s="21" t="n"/>
      <c r="R156" s="20" t="n"/>
      <c r="S156" s="21" t="n"/>
      <c r="T156" s="20" t="n"/>
      <c r="U156" s="20" t="n"/>
      <c r="V156" s="20" t="n"/>
      <c r="W156" s="20" t="n"/>
      <c r="X156" s="20" t="n"/>
      <c r="Y156" s="20" t="n"/>
      <c r="Z156" s="20" t="n"/>
      <c r="AA156" s="20" t="n"/>
      <c r="AB156" s="20" t="n"/>
      <c r="AC156" s="20" t="n"/>
      <c r="AD156" s="20" t="n"/>
      <c r="AE156" s="24">
        <f>IF(M156="","",TODAY()-M156)</f>
        <v/>
      </c>
      <c r="AF156" s="25">
        <f>IF(Q156="","",IF(AND(Q156&lt;TODAY(),R156&lt;&gt;"Stage X",R156&lt;&gt;"Stage 6"),"⚠️ OVERDUE",""))</f>
        <v/>
      </c>
      <c r="AG156" s="25">
        <f>IF(A156="","",IF(R156=IFERROR(VLOOKUP(A156,Pipeline!$A:$E,5,FALSE),""),"✓","⚠️ SYNC ERROR"))</f>
        <v/>
      </c>
    </row>
    <row r="157" ht="18" customHeight="1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1" t="n"/>
      <c r="L157" s="20" t="n"/>
      <c r="M157" s="21" t="n"/>
      <c r="N157" s="20" t="n"/>
      <c r="O157" s="20" t="n"/>
      <c r="P157" s="20" t="n"/>
      <c r="Q157" s="21" t="n"/>
      <c r="R157" s="20" t="n"/>
      <c r="S157" s="21" t="n"/>
      <c r="T157" s="20" t="n"/>
      <c r="U157" s="20" t="n"/>
      <c r="V157" s="20" t="n"/>
      <c r="W157" s="20" t="n"/>
      <c r="X157" s="20" t="n"/>
      <c r="Y157" s="20" t="n"/>
      <c r="Z157" s="20" t="n"/>
      <c r="AA157" s="20" t="n"/>
      <c r="AB157" s="20" t="n"/>
      <c r="AC157" s="20" t="n"/>
      <c r="AD157" s="20" t="n"/>
      <c r="AE157" s="24">
        <f>IF(M157="","",TODAY()-M157)</f>
        <v/>
      </c>
      <c r="AF157" s="25">
        <f>IF(Q157="","",IF(AND(Q157&lt;TODAY(),R157&lt;&gt;"Stage X",R157&lt;&gt;"Stage 6"),"⚠️ OVERDUE",""))</f>
        <v/>
      </c>
      <c r="AG157" s="25">
        <f>IF(A157="","",IF(R157=IFERROR(VLOOKUP(A157,Pipeline!$A:$E,5,FALSE),""),"✓","⚠️ SYNC ERROR"))</f>
        <v/>
      </c>
    </row>
    <row r="158" ht="18" customHeight="1">
      <c r="A158" s="20" t="n"/>
      <c r="B158" s="20" t="n"/>
      <c r="C158" s="20" t="n"/>
      <c r="D158" s="20" t="n"/>
      <c r="E158" s="20" t="n"/>
      <c r="F158" s="20" t="n"/>
      <c r="G158" s="20" t="n"/>
      <c r="H158" s="20" t="n"/>
      <c r="I158" s="20" t="n"/>
      <c r="J158" s="20" t="n"/>
      <c r="K158" s="21" t="n"/>
      <c r="L158" s="20" t="n"/>
      <c r="M158" s="21" t="n"/>
      <c r="N158" s="20" t="n"/>
      <c r="O158" s="20" t="n"/>
      <c r="P158" s="20" t="n"/>
      <c r="Q158" s="21" t="n"/>
      <c r="R158" s="20" t="n"/>
      <c r="S158" s="21" t="n"/>
      <c r="T158" s="20" t="n"/>
      <c r="U158" s="20" t="n"/>
      <c r="V158" s="20" t="n"/>
      <c r="W158" s="20" t="n"/>
      <c r="X158" s="20" t="n"/>
      <c r="Y158" s="20" t="n"/>
      <c r="Z158" s="20" t="n"/>
      <c r="AA158" s="20" t="n"/>
      <c r="AB158" s="20" t="n"/>
      <c r="AC158" s="20" t="n"/>
      <c r="AD158" s="20" t="n"/>
      <c r="AE158" s="24">
        <f>IF(M158="","",TODAY()-M158)</f>
        <v/>
      </c>
      <c r="AF158" s="25">
        <f>IF(Q158="","",IF(AND(Q158&lt;TODAY(),R158&lt;&gt;"Stage X",R158&lt;&gt;"Stage 6"),"⚠️ OVERDUE",""))</f>
        <v/>
      </c>
      <c r="AG158" s="25">
        <f>IF(A158="","",IF(R158=IFERROR(VLOOKUP(A158,Pipeline!$A:$E,5,FALSE),""),"✓","⚠️ SYNC ERROR"))</f>
        <v/>
      </c>
    </row>
    <row r="159" ht="18" customHeight="1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1" t="n"/>
      <c r="L159" s="20" t="n"/>
      <c r="M159" s="21" t="n"/>
      <c r="N159" s="20" t="n"/>
      <c r="O159" s="20" t="n"/>
      <c r="P159" s="20" t="n"/>
      <c r="Q159" s="21" t="n"/>
      <c r="R159" s="20" t="n"/>
      <c r="S159" s="21" t="n"/>
      <c r="T159" s="20" t="n"/>
      <c r="U159" s="20" t="n"/>
      <c r="V159" s="20" t="n"/>
      <c r="W159" s="20" t="n"/>
      <c r="X159" s="20" t="n"/>
      <c r="Y159" s="20" t="n"/>
      <c r="Z159" s="20" t="n"/>
      <c r="AA159" s="20" t="n"/>
      <c r="AB159" s="20" t="n"/>
      <c r="AC159" s="20" t="n"/>
      <c r="AD159" s="20" t="n"/>
      <c r="AE159" s="24">
        <f>IF(M159="","",TODAY()-M159)</f>
        <v/>
      </c>
      <c r="AF159" s="25">
        <f>IF(Q159="","",IF(AND(Q159&lt;TODAY(),R159&lt;&gt;"Stage X",R159&lt;&gt;"Stage 6"),"⚠️ OVERDUE",""))</f>
        <v/>
      </c>
      <c r="AG159" s="25">
        <f>IF(A159="","",IF(R159=IFERROR(VLOOKUP(A159,Pipeline!$A:$E,5,FALSE),""),"✓","⚠️ SYNC ERROR"))</f>
        <v/>
      </c>
    </row>
    <row r="160" ht="18" customHeight="1">
      <c r="A160" s="20" t="n"/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0" t="n"/>
      <c r="K160" s="21" t="n"/>
      <c r="L160" s="20" t="n"/>
      <c r="M160" s="21" t="n"/>
      <c r="N160" s="20" t="n"/>
      <c r="O160" s="20" t="n"/>
      <c r="P160" s="20" t="n"/>
      <c r="Q160" s="21" t="n"/>
      <c r="R160" s="20" t="n"/>
      <c r="S160" s="21" t="n"/>
      <c r="T160" s="20" t="n"/>
      <c r="U160" s="20" t="n"/>
      <c r="V160" s="20" t="n"/>
      <c r="W160" s="20" t="n"/>
      <c r="X160" s="20" t="n"/>
      <c r="Y160" s="20" t="n"/>
      <c r="Z160" s="20" t="n"/>
      <c r="AA160" s="20" t="n"/>
      <c r="AB160" s="20" t="n"/>
      <c r="AC160" s="20" t="n"/>
      <c r="AD160" s="20" t="n"/>
      <c r="AE160" s="24">
        <f>IF(M160="","",TODAY()-M160)</f>
        <v/>
      </c>
      <c r="AF160" s="25">
        <f>IF(Q160="","",IF(AND(Q160&lt;TODAY(),R160&lt;&gt;"Stage X",R160&lt;&gt;"Stage 6"),"⚠️ OVERDUE",""))</f>
        <v/>
      </c>
      <c r="AG160" s="25">
        <f>IF(A160="","",IF(R160=IFERROR(VLOOKUP(A160,Pipeline!$A:$E,5,FALSE),""),"✓","⚠️ SYNC ERROR"))</f>
        <v/>
      </c>
    </row>
    <row r="161" ht="18" customHeight="1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1" t="n"/>
      <c r="L161" s="20" t="n"/>
      <c r="M161" s="21" t="n"/>
      <c r="N161" s="20" t="n"/>
      <c r="O161" s="20" t="n"/>
      <c r="P161" s="20" t="n"/>
      <c r="Q161" s="21" t="n"/>
      <c r="R161" s="20" t="n"/>
      <c r="S161" s="21" t="n"/>
      <c r="T161" s="20" t="n"/>
      <c r="U161" s="20" t="n"/>
      <c r="V161" s="20" t="n"/>
      <c r="W161" s="20" t="n"/>
      <c r="X161" s="20" t="n"/>
      <c r="Y161" s="20" t="n"/>
      <c r="Z161" s="20" t="n"/>
      <c r="AA161" s="20" t="n"/>
      <c r="AB161" s="20" t="n"/>
      <c r="AC161" s="20" t="n"/>
      <c r="AD161" s="20" t="n"/>
      <c r="AE161" s="24">
        <f>IF(M161="","",TODAY()-M161)</f>
        <v/>
      </c>
      <c r="AF161" s="25">
        <f>IF(Q161="","",IF(AND(Q161&lt;TODAY(),R161&lt;&gt;"Stage X",R161&lt;&gt;"Stage 6"),"⚠️ OVERDUE",""))</f>
        <v/>
      </c>
      <c r="AG161" s="25">
        <f>IF(A161="","",IF(R161=IFERROR(VLOOKUP(A161,Pipeline!$A:$E,5,FALSE),""),"✓","⚠️ SYNC ERROR"))</f>
        <v/>
      </c>
    </row>
    <row r="162" ht="18" customHeight="1">
      <c r="A162" s="20" t="n"/>
      <c r="B162" s="20" t="n"/>
      <c r="C162" s="20" t="n"/>
      <c r="D162" s="20" t="n"/>
      <c r="E162" s="20" t="n"/>
      <c r="F162" s="20" t="n"/>
      <c r="G162" s="20" t="n"/>
      <c r="H162" s="20" t="n"/>
      <c r="I162" s="20" t="n"/>
      <c r="J162" s="20" t="n"/>
      <c r="K162" s="21" t="n"/>
      <c r="L162" s="20" t="n"/>
      <c r="M162" s="21" t="n"/>
      <c r="N162" s="20" t="n"/>
      <c r="O162" s="20" t="n"/>
      <c r="P162" s="20" t="n"/>
      <c r="Q162" s="21" t="n"/>
      <c r="R162" s="20" t="n"/>
      <c r="S162" s="21" t="n"/>
      <c r="T162" s="20" t="n"/>
      <c r="U162" s="20" t="n"/>
      <c r="V162" s="20" t="n"/>
      <c r="W162" s="20" t="n"/>
      <c r="X162" s="20" t="n"/>
      <c r="Y162" s="20" t="n"/>
      <c r="Z162" s="20" t="n"/>
      <c r="AA162" s="20" t="n"/>
      <c r="AB162" s="20" t="n"/>
      <c r="AC162" s="20" t="n"/>
      <c r="AD162" s="20" t="n"/>
      <c r="AE162" s="24">
        <f>IF(M162="","",TODAY()-M162)</f>
        <v/>
      </c>
      <c r="AF162" s="25">
        <f>IF(Q162="","",IF(AND(Q162&lt;TODAY(),R162&lt;&gt;"Stage X",R162&lt;&gt;"Stage 6"),"⚠️ OVERDUE",""))</f>
        <v/>
      </c>
      <c r="AG162" s="25">
        <f>IF(A162="","",IF(R162=IFERROR(VLOOKUP(A162,Pipeline!$A:$E,5,FALSE),""),"✓","⚠️ SYNC ERROR"))</f>
        <v/>
      </c>
    </row>
    <row r="163" ht="18" customHeight="1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1" t="n"/>
      <c r="L163" s="20" t="n"/>
      <c r="M163" s="21" t="n"/>
      <c r="N163" s="20" t="n"/>
      <c r="O163" s="20" t="n"/>
      <c r="P163" s="20" t="n"/>
      <c r="Q163" s="21" t="n"/>
      <c r="R163" s="20" t="n"/>
      <c r="S163" s="21" t="n"/>
      <c r="T163" s="20" t="n"/>
      <c r="U163" s="20" t="n"/>
      <c r="V163" s="20" t="n"/>
      <c r="W163" s="20" t="n"/>
      <c r="X163" s="20" t="n"/>
      <c r="Y163" s="20" t="n"/>
      <c r="Z163" s="20" t="n"/>
      <c r="AA163" s="20" t="n"/>
      <c r="AB163" s="20" t="n"/>
      <c r="AC163" s="20" t="n"/>
      <c r="AD163" s="20" t="n"/>
      <c r="AE163" s="24">
        <f>IF(M163="","",TODAY()-M163)</f>
        <v/>
      </c>
      <c r="AF163" s="25">
        <f>IF(Q163="","",IF(AND(Q163&lt;TODAY(),R163&lt;&gt;"Stage X",R163&lt;&gt;"Stage 6"),"⚠️ OVERDUE",""))</f>
        <v/>
      </c>
      <c r="AG163" s="25">
        <f>IF(A163="","",IF(R163=IFERROR(VLOOKUP(A163,Pipeline!$A:$E,5,FALSE),""),"✓","⚠️ SYNC ERROR"))</f>
        <v/>
      </c>
    </row>
    <row r="164" ht="18" customHeight="1">
      <c r="A164" s="20" t="n"/>
      <c r="B164" s="20" t="n"/>
      <c r="C164" s="20" t="n"/>
      <c r="D164" s="20" t="n"/>
      <c r="E164" s="20" t="n"/>
      <c r="F164" s="20" t="n"/>
      <c r="G164" s="20" t="n"/>
      <c r="H164" s="20" t="n"/>
      <c r="I164" s="20" t="n"/>
      <c r="J164" s="20" t="n"/>
      <c r="K164" s="21" t="n"/>
      <c r="L164" s="20" t="n"/>
      <c r="M164" s="21" t="n"/>
      <c r="N164" s="20" t="n"/>
      <c r="O164" s="20" t="n"/>
      <c r="P164" s="20" t="n"/>
      <c r="Q164" s="21" t="n"/>
      <c r="R164" s="20" t="n"/>
      <c r="S164" s="21" t="n"/>
      <c r="T164" s="20" t="n"/>
      <c r="U164" s="20" t="n"/>
      <c r="V164" s="20" t="n"/>
      <c r="W164" s="20" t="n"/>
      <c r="X164" s="20" t="n"/>
      <c r="Y164" s="20" t="n"/>
      <c r="Z164" s="20" t="n"/>
      <c r="AA164" s="20" t="n"/>
      <c r="AB164" s="20" t="n"/>
      <c r="AC164" s="20" t="n"/>
      <c r="AD164" s="20" t="n"/>
      <c r="AE164" s="24">
        <f>IF(M164="","",TODAY()-M164)</f>
        <v/>
      </c>
      <c r="AF164" s="25">
        <f>IF(Q164="","",IF(AND(Q164&lt;TODAY(),R164&lt;&gt;"Stage X",R164&lt;&gt;"Stage 6"),"⚠️ OVERDUE",""))</f>
        <v/>
      </c>
      <c r="AG164" s="25">
        <f>IF(A164="","",IF(R164=IFERROR(VLOOKUP(A164,Pipeline!$A:$E,5,FALSE),""),"✓","⚠️ SYNC ERROR"))</f>
        <v/>
      </c>
    </row>
    <row r="165" ht="18" customHeight="1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1" t="n"/>
      <c r="L165" s="20" t="n"/>
      <c r="M165" s="21" t="n"/>
      <c r="N165" s="20" t="n"/>
      <c r="O165" s="20" t="n"/>
      <c r="P165" s="20" t="n"/>
      <c r="Q165" s="21" t="n"/>
      <c r="R165" s="20" t="n"/>
      <c r="S165" s="21" t="n"/>
      <c r="T165" s="20" t="n"/>
      <c r="U165" s="20" t="n"/>
      <c r="V165" s="20" t="n"/>
      <c r="W165" s="20" t="n"/>
      <c r="X165" s="20" t="n"/>
      <c r="Y165" s="20" t="n"/>
      <c r="Z165" s="20" t="n"/>
      <c r="AA165" s="20" t="n"/>
      <c r="AB165" s="20" t="n"/>
      <c r="AC165" s="20" t="n"/>
      <c r="AD165" s="20" t="n"/>
      <c r="AE165" s="24">
        <f>IF(M165="","",TODAY()-M165)</f>
        <v/>
      </c>
      <c r="AF165" s="25">
        <f>IF(Q165="","",IF(AND(Q165&lt;TODAY(),R165&lt;&gt;"Stage X",R165&lt;&gt;"Stage 6"),"⚠️ OVERDUE",""))</f>
        <v/>
      </c>
      <c r="AG165" s="25">
        <f>IF(A165="","",IF(R165=IFERROR(VLOOKUP(A165,Pipeline!$A:$E,5,FALSE),""),"✓","⚠️ SYNC ERROR"))</f>
        <v/>
      </c>
    </row>
    <row r="166" ht="18" customHeight="1">
      <c r="A166" s="20" t="n"/>
      <c r="B166" s="20" t="n"/>
      <c r="C166" s="20" t="n"/>
      <c r="D166" s="20" t="n"/>
      <c r="E166" s="20" t="n"/>
      <c r="F166" s="20" t="n"/>
      <c r="G166" s="20" t="n"/>
      <c r="H166" s="20" t="n"/>
      <c r="I166" s="20" t="n"/>
      <c r="J166" s="20" t="n"/>
      <c r="K166" s="21" t="n"/>
      <c r="L166" s="20" t="n"/>
      <c r="M166" s="21" t="n"/>
      <c r="N166" s="20" t="n"/>
      <c r="O166" s="20" t="n"/>
      <c r="P166" s="20" t="n"/>
      <c r="Q166" s="21" t="n"/>
      <c r="R166" s="20" t="n"/>
      <c r="S166" s="21" t="n"/>
      <c r="T166" s="20" t="n"/>
      <c r="U166" s="20" t="n"/>
      <c r="V166" s="20" t="n"/>
      <c r="W166" s="20" t="n"/>
      <c r="X166" s="20" t="n"/>
      <c r="Y166" s="20" t="n"/>
      <c r="Z166" s="20" t="n"/>
      <c r="AA166" s="20" t="n"/>
      <c r="AB166" s="20" t="n"/>
      <c r="AC166" s="20" t="n"/>
      <c r="AD166" s="20" t="n"/>
      <c r="AE166" s="24">
        <f>IF(M166="","",TODAY()-M166)</f>
        <v/>
      </c>
      <c r="AF166" s="25">
        <f>IF(Q166="","",IF(AND(Q166&lt;TODAY(),R166&lt;&gt;"Stage X",R166&lt;&gt;"Stage 6"),"⚠️ OVERDUE",""))</f>
        <v/>
      </c>
      <c r="AG166" s="25">
        <f>IF(A166="","",IF(R166=IFERROR(VLOOKUP(A166,Pipeline!$A:$E,5,FALSE),""),"✓","⚠️ SYNC ERROR"))</f>
        <v/>
      </c>
    </row>
    <row r="167" ht="18" customHeight="1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1" t="n"/>
      <c r="L167" s="20" t="n"/>
      <c r="M167" s="21" t="n"/>
      <c r="N167" s="20" t="n"/>
      <c r="O167" s="20" t="n"/>
      <c r="P167" s="20" t="n"/>
      <c r="Q167" s="21" t="n"/>
      <c r="R167" s="20" t="n"/>
      <c r="S167" s="21" t="n"/>
      <c r="T167" s="20" t="n"/>
      <c r="U167" s="20" t="n"/>
      <c r="V167" s="20" t="n"/>
      <c r="W167" s="20" t="n"/>
      <c r="X167" s="20" t="n"/>
      <c r="Y167" s="20" t="n"/>
      <c r="Z167" s="20" t="n"/>
      <c r="AA167" s="20" t="n"/>
      <c r="AB167" s="20" t="n"/>
      <c r="AC167" s="20" t="n"/>
      <c r="AD167" s="20" t="n"/>
      <c r="AE167" s="24">
        <f>IF(M167="","",TODAY()-M167)</f>
        <v/>
      </c>
      <c r="AF167" s="25">
        <f>IF(Q167="","",IF(AND(Q167&lt;TODAY(),R167&lt;&gt;"Stage X",R167&lt;&gt;"Stage 6"),"⚠️ OVERDUE",""))</f>
        <v/>
      </c>
      <c r="AG167" s="25">
        <f>IF(A167="","",IF(R167=IFERROR(VLOOKUP(A167,Pipeline!$A:$E,5,FALSE),""),"✓","⚠️ SYNC ERROR"))</f>
        <v/>
      </c>
    </row>
    <row r="168" ht="18" customHeight="1">
      <c r="A168" s="20" t="n"/>
      <c r="B168" s="20" t="n"/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1" t="n"/>
      <c r="L168" s="20" t="n"/>
      <c r="M168" s="21" t="n"/>
      <c r="N168" s="20" t="n"/>
      <c r="O168" s="20" t="n"/>
      <c r="P168" s="20" t="n"/>
      <c r="Q168" s="21" t="n"/>
      <c r="R168" s="20" t="n"/>
      <c r="S168" s="21" t="n"/>
      <c r="T168" s="20" t="n"/>
      <c r="U168" s="20" t="n"/>
      <c r="V168" s="20" t="n"/>
      <c r="W168" s="20" t="n"/>
      <c r="X168" s="20" t="n"/>
      <c r="Y168" s="20" t="n"/>
      <c r="Z168" s="20" t="n"/>
      <c r="AA168" s="20" t="n"/>
      <c r="AB168" s="20" t="n"/>
      <c r="AC168" s="20" t="n"/>
      <c r="AD168" s="20" t="n"/>
      <c r="AE168" s="24">
        <f>IF(M168="","",TODAY()-M168)</f>
        <v/>
      </c>
      <c r="AF168" s="25">
        <f>IF(Q168="","",IF(AND(Q168&lt;TODAY(),R168&lt;&gt;"Stage X",R168&lt;&gt;"Stage 6"),"⚠️ OVERDUE",""))</f>
        <v/>
      </c>
      <c r="AG168" s="25">
        <f>IF(A168="","",IF(R168=IFERROR(VLOOKUP(A168,Pipeline!$A:$E,5,FALSE),""),"✓","⚠️ SYNC ERROR"))</f>
        <v/>
      </c>
    </row>
    <row r="169" ht="18" customHeight="1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1" t="n"/>
      <c r="L169" s="20" t="n"/>
      <c r="M169" s="21" t="n"/>
      <c r="N169" s="20" t="n"/>
      <c r="O169" s="20" t="n"/>
      <c r="P169" s="20" t="n"/>
      <c r="Q169" s="21" t="n"/>
      <c r="R169" s="20" t="n"/>
      <c r="S169" s="21" t="n"/>
      <c r="T169" s="20" t="n"/>
      <c r="U169" s="20" t="n"/>
      <c r="V169" s="20" t="n"/>
      <c r="W169" s="20" t="n"/>
      <c r="X169" s="20" t="n"/>
      <c r="Y169" s="20" t="n"/>
      <c r="Z169" s="20" t="n"/>
      <c r="AA169" s="20" t="n"/>
      <c r="AB169" s="20" t="n"/>
      <c r="AC169" s="20" t="n"/>
      <c r="AD169" s="20" t="n"/>
      <c r="AE169" s="24">
        <f>IF(M169="","",TODAY()-M169)</f>
        <v/>
      </c>
      <c r="AF169" s="25">
        <f>IF(Q169="","",IF(AND(Q169&lt;TODAY(),R169&lt;&gt;"Stage X",R169&lt;&gt;"Stage 6"),"⚠️ OVERDUE",""))</f>
        <v/>
      </c>
      <c r="AG169" s="25">
        <f>IF(A169="","",IF(R169=IFERROR(VLOOKUP(A169,Pipeline!$A:$E,5,FALSE),""),"✓","⚠️ SYNC ERROR"))</f>
        <v/>
      </c>
    </row>
    <row r="170" ht="18" customHeight="1">
      <c r="A170" s="20" t="n"/>
      <c r="B170" s="20" t="n"/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1" t="n"/>
      <c r="L170" s="20" t="n"/>
      <c r="M170" s="21" t="n"/>
      <c r="N170" s="20" t="n"/>
      <c r="O170" s="20" t="n"/>
      <c r="P170" s="20" t="n"/>
      <c r="Q170" s="21" t="n"/>
      <c r="R170" s="20" t="n"/>
      <c r="S170" s="21" t="n"/>
      <c r="T170" s="20" t="n"/>
      <c r="U170" s="20" t="n"/>
      <c r="V170" s="20" t="n"/>
      <c r="W170" s="20" t="n"/>
      <c r="X170" s="20" t="n"/>
      <c r="Y170" s="20" t="n"/>
      <c r="Z170" s="20" t="n"/>
      <c r="AA170" s="20" t="n"/>
      <c r="AB170" s="20" t="n"/>
      <c r="AC170" s="20" t="n"/>
      <c r="AD170" s="20" t="n"/>
      <c r="AE170" s="24">
        <f>IF(M170="","",TODAY()-M170)</f>
        <v/>
      </c>
      <c r="AF170" s="25">
        <f>IF(Q170="","",IF(AND(Q170&lt;TODAY(),R170&lt;&gt;"Stage X",R170&lt;&gt;"Stage 6"),"⚠️ OVERDUE",""))</f>
        <v/>
      </c>
      <c r="AG170" s="25">
        <f>IF(A170="","",IF(R170=IFERROR(VLOOKUP(A170,Pipeline!$A:$E,5,FALSE),""),"✓","⚠️ SYNC ERROR"))</f>
        <v/>
      </c>
    </row>
    <row r="171" ht="18" customHeight="1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1" t="n"/>
      <c r="L171" s="20" t="n"/>
      <c r="M171" s="21" t="n"/>
      <c r="N171" s="20" t="n"/>
      <c r="O171" s="20" t="n"/>
      <c r="P171" s="20" t="n"/>
      <c r="Q171" s="21" t="n"/>
      <c r="R171" s="20" t="n"/>
      <c r="S171" s="21" t="n"/>
      <c r="T171" s="20" t="n"/>
      <c r="U171" s="20" t="n"/>
      <c r="V171" s="20" t="n"/>
      <c r="W171" s="20" t="n"/>
      <c r="X171" s="20" t="n"/>
      <c r="Y171" s="20" t="n"/>
      <c r="Z171" s="20" t="n"/>
      <c r="AA171" s="20" t="n"/>
      <c r="AB171" s="20" t="n"/>
      <c r="AC171" s="20" t="n"/>
      <c r="AD171" s="20" t="n"/>
      <c r="AE171" s="24">
        <f>IF(M171="","",TODAY()-M171)</f>
        <v/>
      </c>
      <c r="AF171" s="25">
        <f>IF(Q171="","",IF(AND(Q171&lt;TODAY(),R171&lt;&gt;"Stage X",R171&lt;&gt;"Stage 6"),"⚠️ OVERDUE",""))</f>
        <v/>
      </c>
      <c r="AG171" s="25">
        <f>IF(A171="","",IF(R171=IFERROR(VLOOKUP(A171,Pipeline!$A:$E,5,FALSE),""),"✓","⚠️ SYNC ERROR"))</f>
        <v/>
      </c>
    </row>
    <row r="172" ht="18" customHeight="1">
      <c r="A172" s="20" t="n"/>
      <c r="B172" s="20" t="n"/>
      <c r="C172" s="20" t="n"/>
      <c r="D172" s="20" t="n"/>
      <c r="E172" s="20" t="n"/>
      <c r="F172" s="20" t="n"/>
      <c r="G172" s="20" t="n"/>
      <c r="H172" s="20" t="n"/>
      <c r="I172" s="20" t="n"/>
      <c r="J172" s="20" t="n"/>
      <c r="K172" s="21" t="n"/>
      <c r="L172" s="20" t="n"/>
      <c r="M172" s="21" t="n"/>
      <c r="N172" s="20" t="n"/>
      <c r="O172" s="20" t="n"/>
      <c r="P172" s="20" t="n"/>
      <c r="Q172" s="21" t="n"/>
      <c r="R172" s="20" t="n"/>
      <c r="S172" s="21" t="n"/>
      <c r="T172" s="20" t="n"/>
      <c r="U172" s="20" t="n"/>
      <c r="V172" s="20" t="n"/>
      <c r="W172" s="20" t="n"/>
      <c r="X172" s="20" t="n"/>
      <c r="Y172" s="20" t="n"/>
      <c r="Z172" s="20" t="n"/>
      <c r="AA172" s="20" t="n"/>
      <c r="AB172" s="20" t="n"/>
      <c r="AC172" s="20" t="n"/>
      <c r="AD172" s="20" t="n"/>
      <c r="AE172" s="24">
        <f>IF(M172="","",TODAY()-M172)</f>
        <v/>
      </c>
      <c r="AF172" s="25">
        <f>IF(Q172="","",IF(AND(Q172&lt;TODAY(),R172&lt;&gt;"Stage X",R172&lt;&gt;"Stage 6"),"⚠️ OVERDUE",""))</f>
        <v/>
      </c>
      <c r="AG172" s="25">
        <f>IF(A172="","",IF(R172=IFERROR(VLOOKUP(A172,Pipeline!$A:$E,5,FALSE),""),"✓","⚠️ SYNC ERROR"))</f>
        <v/>
      </c>
    </row>
    <row r="173" ht="18" customHeight="1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1" t="n"/>
      <c r="L173" s="20" t="n"/>
      <c r="M173" s="21" t="n"/>
      <c r="N173" s="20" t="n"/>
      <c r="O173" s="20" t="n"/>
      <c r="P173" s="20" t="n"/>
      <c r="Q173" s="21" t="n"/>
      <c r="R173" s="20" t="n"/>
      <c r="S173" s="21" t="n"/>
      <c r="T173" s="20" t="n"/>
      <c r="U173" s="20" t="n"/>
      <c r="V173" s="20" t="n"/>
      <c r="W173" s="20" t="n"/>
      <c r="X173" s="20" t="n"/>
      <c r="Y173" s="20" t="n"/>
      <c r="Z173" s="20" t="n"/>
      <c r="AA173" s="20" t="n"/>
      <c r="AB173" s="20" t="n"/>
      <c r="AC173" s="20" t="n"/>
      <c r="AD173" s="20" t="n"/>
      <c r="AE173" s="24">
        <f>IF(M173="","",TODAY()-M173)</f>
        <v/>
      </c>
      <c r="AF173" s="25">
        <f>IF(Q173="","",IF(AND(Q173&lt;TODAY(),R173&lt;&gt;"Stage X",R173&lt;&gt;"Stage 6"),"⚠️ OVERDUE",""))</f>
        <v/>
      </c>
      <c r="AG173" s="25">
        <f>IF(A173="","",IF(R173=IFERROR(VLOOKUP(A173,Pipeline!$A:$E,5,FALSE),""),"✓","⚠️ SYNC ERROR"))</f>
        <v/>
      </c>
    </row>
    <row r="174" ht="18" customHeight="1">
      <c r="A174" s="20" t="n"/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0" t="n"/>
      <c r="K174" s="21" t="n"/>
      <c r="L174" s="20" t="n"/>
      <c r="M174" s="21" t="n"/>
      <c r="N174" s="20" t="n"/>
      <c r="O174" s="20" t="n"/>
      <c r="P174" s="20" t="n"/>
      <c r="Q174" s="21" t="n"/>
      <c r="R174" s="20" t="n"/>
      <c r="S174" s="21" t="n"/>
      <c r="T174" s="20" t="n"/>
      <c r="U174" s="20" t="n"/>
      <c r="V174" s="20" t="n"/>
      <c r="W174" s="20" t="n"/>
      <c r="X174" s="20" t="n"/>
      <c r="Y174" s="20" t="n"/>
      <c r="Z174" s="20" t="n"/>
      <c r="AA174" s="20" t="n"/>
      <c r="AB174" s="20" t="n"/>
      <c r="AC174" s="20" t="n"/>
      <c r="AD174" s="20" t="n"/>
      <c r="AE174" s="24">
        <f>IF(M174="","",TODAY()-M174)</f>
        <v/>
      </c>
      <c r="AF174" s="25">
        <f>IF(Q174="","",IF(AND(Q174&lt;TODAY(),R174&lt;&gt;"Stage X",R174&lt;&gt;"Stage 6"),"⚠️ OVERDUE",""))</f>
        <v/>
      </c>
      <c r="AG174" s="25">
        <f>IF(A174="","",IF(R174=IFERROR(VLOOKUP(A174,Pipeline!$A:$E,5,FALSE),""),"✓","⚠️ SYNC ERROR"))</f>
        <v/>
      </c>
    </row>
    <row r="175" ht="18" customHeight="1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1" t="n"/>
      <c r="L175" s="20" t="n"/>
      <c r="M175" s="21" t="n"/>
      <c r="N175" s="20" t="n"/>
      <c r="O175" s="20" t="n"/>
      <c r="P175" s="20" t="n"/>
      <c r="Q175" s="21" t="n"/>
      <c r="R175" s="20" t="n"/>
      <c r="S175" s="21" t="n"/>
      <c r="T175" s="20" t="n"/>
      <c r="U175" s="20" t="n"/>
      <c r="V175" s="20" t="n"/>
      <c r="W175" s="20" t="n"/>
      <c r="X175" s="20" t="n"/>
      <c r="Y175" s="20" t="n"/>
      <c r="Z175" s="20" t="n"/>
      <c r="AA175" s="20" t="n"/>
      <c r="AB175" s="20" t="n"/>
      <c r="AC175" s="20" t="n"/>
      <c r="AD175" s="20" t="n"/>
      <c r="AE175" s="24">
        <f>IF(M175="","",TODAY()-M175)</f>
        <v/>
      </c>
      <c r="AF175" s="25">
        <f>IF(Q175="","",IF(AND(Q175&lt;TODAY(),R175&lt;&gt;"Stage X",R175&lt;&gt;"Stage 6"),"⚠️ OVERDUE",""))</f>
        <v/>
      </c>
      <c r="AG175" s="25">
        <f>IF(A175="","",IF(R175=IFERROR(VLOOKUP(A175,Pipeline!$A:$E,5,FALSE),""),"✓","⚠️ SYNC ERROR"))</f>
        <v/>
      </c>
    </row>
    <row r="176" ht="18" customHeight="1">
      <c r="A176" s="20" t="n"/>
      <c r="B176" s="20" t="n"/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1" t="n"/>
      <c r="L176" s="20" t="n"/>
      <c r="M176" s="21" t="n"/>
      <c r="N176" s="20" t="n"/>
      <c r="O176" s="20" t="n"/>
      <c r="P176" s="20" t="n"/>
      <c r="Q176" s="21" t="n"/>
      <c r="R176" s="20" t="n"/>
      <c r="S176" s="21" t="n"/>
      <c r="T176" s="20" t="n"/>
      <c r="U176" s="20" t="n"/>
      <c r="V176" s="20" t="n"/>
      <c r="W176" s="20" t="n"/>
      <c r="X176" s="20" t="n"/>
      <c r="Y176" s="20" t="n"/>
      <c r="Z176" s="20" t="n"/>
      <c r="AA176" s="20" t="n"/>
      <c r="AB176" s="20" t="n"/>
      <c r="AC176" s="20" t="n"/>
      <c r="AD176" s="20" t="n"/>
      <c r="AE176" s="24">
        <f>IF(M176="","",TODAY()-M176)</f>
        <v/>
      </c>
      <c r="AF176" s="25">
        <f>IF(Q176="","",IF(AND(Q176&lt;TODAY(),R176&lt;&gt;"Stage X",R176&lt;&gt;"Stage 6"),"⚠️ OVERDUE",""))</f>
        <v/>
      </c>
      <c r="AG176" s="25">
        <f>IF(A176="","",IF(R176=IFERROR(VLOOKUP(A176,Pipeline!$A:$E,5,FALSE),""),"✓","⚠️ SYNC ERROR"))</f>
        <v/>
      </c>
    </row>
    <row r="177" ht="18" customHeight="1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1" t="n"/>
      <c r="L177" s="20" t="n"/>
      <c r="M177" s="21" t="n"/>
      <c r="N177" s="20" t="n"/>
      <c r="O177" s="20" t="n"/>
      <c r="P177" s="20" t="n"/>
      <c r="Q177" s="21" t="n"/>
      <c r="R177" s="20" t="n"/>
      <c r="S177" s="21" t="n"/>
      <c r="T177" s="20" t="n"/>
      <c r="U177" s="20" t="n"/>
      <c r="V177" s="20" t="n"/>
      <c r="W177" s="20" t="n"/>
      <c r="X177" s="20" t="n"/>
      <c r="Y177" s="20" t="n"/>
      <c r="Z177" s="20" t="n"/>
      <c r="AA177" s="20" t="n"/>
      <c r="AB177" s="20" t="n"/>
      <c r="AC177" s="20" t="n"/>
      <c r="AD177" s="20" t="n"/>
      <c r="AE177" s="24">
        <f>IF(M177="","",TODAY()-M177)</f>
        <v/>
      </c>
      <c r="AF177" s="25">
        <f>IF(Q177="","",IF(AND(Q177&lt;TODAY(),R177&lt;&gt;"Stage X",R177&lt;&gt;"Stage 6"),"⚠️ OVERDUE",""))</f>
        <v/>
      </c>
      <c r="AG177" s="25">
        <f>IF(A177="","",IF(R177=IFERROR(VLOOKUP(A177,Pipeline!$A:$E,5,FALSE),""),"✓","⚠️ SYNC ERROR"))</f>
        <v/>
      </c>
    </row>
    <row r="178" ht="18" customHeight="1">
      <c r="A178" s="20" t="n"/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1" t="n"/>
      <c r="L178" s="20" t="n"/>
      <c r="M178" s="21" t="n"/>
      <c r="N178" s="20" t="n"/>
      <c r="O178" s="20" t="n"/>
      <c r="P178" s="20" t="n"/>
      <c r="Q178" s="21" t="n"/>
      <c r="R178" s="20" t="n"/>
      <c r="S178" s="21" t="n"/>
      <c r="T178" s="20" t="n"/>
      <c r="U178" s="20" t="n"/>
      <c r="V178" s="20" t="n"/>
      <c r="W178" s="20" t="n"/>
      <c r="X178" s="20" t="n"/>
      <c r="Y178" s="20" t="n"/>
      <c r="Z178" s="20" t="n"/>
      <c r="AA178" s="20" t="n"/>
      <c r="AB178" s="20" t="n"/>
      <c r="AC178" s="20" t="n"/>
      <c r="AD178" s="20" t="n"/>
      <c r="AE178" s="24">
        <f>IF(M178="","",TODAY()-M178)</f>
        <v/>
      </c>
      <c r="AF178" s="25">
        <f>IF(Q178="","",IF(AND(Q178&lt;TODAY(),R178&lt;&gt;"Stage X",R178&lt;&gt;"Stage 6"),"⚠️ OVERDUE",""))</f>
        <v/>
      </c>
      <c r="AG178" s="25">
        <f>IF(A178="","",IF(R178=IFERROR(VLOOKUP(A178,Pipeline!$A:$E,5,FALSE),""),"✓","⚠️ SYNC ERROR"))</f>
        <v/>
      </c>
    </row>
    <row r="179" ht="18" customHeight="1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1" t="n"/>
      <c r="L179" s="20" t="n"/>
      <c r="M179" s="21" t="n"/>
      <c r="N179" s="20" t="n"/>
      <c r="O179" s="20" t="n"/>
      <c r="P179" s="20" t="n"/>
      <c r="Q179" s="21" t="n"/>
      <c r="R179" s="20" t="n"/>
      <c r="S179" s="21" t="n"/>
      <c r="T179" s="20" t="n"/>
      <c r="U179" s="20" t="n"/>
      <c r="V179" s="20" t="n"/>
      <c r="W179" s="20" t="n"/>
      <c r="X179" s="20" t="n"/>
      <c r="Y179" s="20" t="n"/>
      <c r="Z179" s="20" t="n"/>
      <c r="AA179" s="20" t="n"/>
      <c r="AB179" s="20" t="n"/>
      <c r="AC179" s="20" t="n"/>
      <c r="AD179" s="20" t="n"/>
      <c r="AE179" s="24">
        <f>IF(M179="","",TODAY()-M179)</f>
        <v/>
      </c>
      <c r="AF179" s="25">
        <f>IF(Q179="","",IF(AND(Q179&lt;TODAY(),R179&lt;&gt;"Stage X",R179&lt;&gt;"Stage 6"),"⚠️ OVERDUE",""))</f>
        <v/>
      </c>
      <c r="AG179" s="25">
        <f>IF(A179="","",IF(R179=IFERROR(VLOOKUP(A179,Pipeline!$A:$E,5,FALSE),""),"✓","⚠️ SYNC ERROR"))</f>
        <v/>
      </c>
    </row>
    <row r="180" ht="18" customHeight="1">
      <c r="A180" s="20" t="n"/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1" t="n"/>
      <c r="L180" s="20" t="n"/>
      <c r="M180" s="21" t="n"/>
      <c r="N180" s="20" t="n"/>
      <c r="O180" s="20" t="n"/>
      <c r="P180" s="20" t="n"/>
      <c r="Q180" s="21" t="n"/>
      <c r="R180" s="20" t="n"/>
      <c r="S180" s="21" t="n"/>
      <c r="T180" s="20" t="n"/>
      <c r="U180" s="20" t="n"/>
      <c r="V180" s="20" t="n"/>
      <c r="W180" s="20" t="n"/>
      <c r="X180" s="20" t="n"/>
      <c r="Y180" s="20" t="n"/>
      <c r="Z180" s="20" t="n"/>
      <c r="AA180" s="20" t="n"/>
      <c r="AB180" s="20" t="n"/>
      <c r="AC180" s="20" t="n"/>
      <c r="AD180" s="20" t="n"/>
      <c r="AE180" s="24">
        <f>IF(M180="","",TODAY()-M180)</f>
        <v/>
      </c>
      <c r="AF180" s="25">
        <f>IF(Q180="","",IF(AND(Q180&lt;TODAY(),R180&lt;&gt;"Stage X",R180&lt;&gt;"Stage 6"),"⚠️ OVERDUE",""))</f>
        <v/>
      </c>
      <c r="AG180" s="25">
        <f>IF(A180="","",IF(R180=IFERROR(VLOOKUP(A180,Pipeline!$A:$E,5,FALSE),""),"✓","⚠️ SYNC ERROR"))</f>
        <v/>
      </c>
    </row>
    <row r="181" ht="18" customHeight="1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1" t="n"/>
      <c r="L181" s="20" t="n"/>
      <c r="M181" s="21" t="n"/>
      <c r="N181" s="20" t="n"/>
      <c r="O181" s="20" t="n"/>
      <c r="P181" s="20" t="n"/>
      <c r="Q181" s="21" t="n"/>
      <c r="R181" s="20" t="n"/>
      <c r="S181" s="21" t="n"/>
      <c r="T181" s="20" t="n"/>
      <c r="U181" s="20" t="n"/>
      <c r="V181" s="20" t="n"/>
      <c r="W181" s="20" t="n"/>
      <c r="X181" s="20" t="n"/>
      <c r="Y181" s="20" t="n"/>
      <c r="Z181" s="20" t="n"/>
      <c r="AA181" s="20" t="n"/>
      <c r="AB181" s="20" t="n"/>
      <c r="AC181" s="20" t="n"/>
      <c r="AD181" s="20" t="n"/>
      <c r="AE181" s="24">
        <f>IF(M181="","",TODAY()-M181)</f>
        <v/>
      </c>
      <c r="AF181" s="25">
        <f>IF(Q181="","",IF(AND(Q181&lt;TODAY(),R181&lt;&gt;"Stage X",R181&lt;&gt;"Stage 6"),"⚠️ OVERDUE",""))</f>
        <v/>
      </c>
      <c r="AG181" s="25">
        <f>IF(A181="","",IF(R181=IFERROR(VLOOKUP(A181,Pipeline!$A:$E,5,FALSE),""),"✓","⚠️ SYNC ERROR"))</f>
        <v/>
      </c>
    </row>
    <row r="182" ht="18" customHeight="1">
      <c r="A182" s="20" t="n"/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1" t="n"/>
      <c r="L182" s="20" t="n"/>
      <c r="M182" s="21" t="n"/>
      <c r="N182" s="20" t="n"/>
      <c r="O182" s="20" t="n"/>
      <c r="P182" s="20" t="n"/>
      <c r="Q182" s="21" t="n"/>
      <c r="R182" s="20" t="n"/>
      <c r="S182" s="21" t="n"/>
      <c r="T182" s="20" t="n"/>
      <c r="U182" s="20" t="n"/>
      <c r="V182" s="20" t="n"/>
      <c r="W182" s="20" t="n"/>
      <c r="X182" s="20" t="n"/>
      <c r="Y182" s="20" t="n"/>
      <c r="Z182" s="20" t="n"/>
      <c r="AA182" s="20" t="n"/>
      <c r="AB182" s="20" t="n"/>
      <c r="AC182" s="20" t="n"/>
      <c r="AD182" s="20" t="n"/>
      <c r="AE182" s="24">
        <f>IF(M182="","",TODAY()-M182)</f>
        <v/>
      </c>
      <c r="AF182" s="25">
        <f>IF(Q182="","",IF(AND(Q182&lt;TODAY(),R182&lt;&gt;"Stage X",R182&lt;&gt;"Stage 6"),"⚠️ OVERDUE",""))</f>
        <v/>
      </c>
      <c r="AG182" s="25">
        <f>IF(A182="","",IF(R182=IFERROR(VLOOKUP(A182,Pipeline!$A:$E,5,FALSE),""),"✓","⚠️ SYNC ERROR"))</f>
        <v/>
      </c>
    </row>
    <row r="183" ht="18" customHeight="1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1" t="n"/>
      <c r="L183" s="20" t="n"/>
      <c r="M183" s="21" t="n"/>
      <c r="N183" s="20" t="n"/>
      <c r="O183" s="20" t="n"/>
      <c r="P183" s="20" t="n"/>
      <c r="Q183" s="21" t="n"/>
      <c r="R183" s="20" t="n"/>
      <c r="S183" s="21" t="n"/>
      <c r="T183" s="20" t="n"/>
      <c r="U183" s="20" t="n"/>
      <c r="V183" s="20" t="n"/>
      <c r="W183" s="20" t="n"/>
      <c r="X183" s="20" t="n"/>
      <c r="Y183" s="20" t="n"/>
      <c r="Z183" s="20" t="n"/>
      <c r="AA183" s="20" t="n"/>
      <c r="AB183" s="20" t="n"/>
      <c r="AC183" s="20" t="n"/>
      <c r="AD183" s="20" t="n"/>
      <c r="AE183" s="24">
        <f>IF(M183="","",TODAY()-M183)</f>
        <v/>
      </c>
      <c r="AF183" s="25">
        <f>IF(Q183="","",IF(AND(Q183&lt;TODAY(),R183&lt;&gt;"Stage X",R183&lt;&gt;"Stage 6"),"⚠️ OVERDUE",""))</f>
        <v/>
      </c>
      <c r="AG183" s="25">
        <f>IF(A183="","",IF(R183=IFERROR(VLOOKUP(A183,Pipeline!$A:$E,5,FALSE),""),"✓","⚠️ SYNC ERROR"))</f>
        <v/>
      </c>
    </row>
    <row r="184" ht="18" customHeight="1">
      <c r="A184" s="20" t="n"/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1" t="n"/>
      <c r="L184" s="20" t="n"/>
      <c r="M184" s="21" t="n"/>
      <c r="N184" s="20" t="n"/>
      <c r="O184" s="20" t="n"/>
      <c r="P184" s="20" t="n"/>
      <c r="Q184" s="21" t="n"/>
      <c r="R184" s="20" t="n"/>
      <c r="S184" s="21" t="n"/>
      <c r="T184" s="20" t="n"/>
      <c r="U184" s="20" t="n"/>
      <c r="V184" s="20" t="n"/>
      <c r="W184" s="20" t="n"/>
      <c r="X184" s="20" t="n"/>
      <c r="Y184" s="20" t="n"/>
      <c r="Z184" s="20" t="n"/>
      <c r="AA184" s="20" t="n"/>
      <c r="AB184" s="20" t="n"/>
      <c r="AC184" s="20" t="n"/>
      <c r="AD184" s="20" t="n"/>
      <c r="AE184" s="24">
        <f>IF(M184="","",TODAY()-M184)</f>
        <v/>
      </c>
      <c r="AF184" s="25">
        <f>IF(Q184="","",IF(AND(Q184&lt;TODAY(),R184&lt;&gt;"Stage X",R184&lt;&gt;"Stage 6"),"⚠️ OVERDUE",""))</f>
        <v/>
      </c>
      <c r="AG184" s="25">
        <f>IF(A184="","",IF(R184=IFERROR(VLOOKUP(A184,Pipeline!$A:$E,5,FALSE),""),"✓","⚠️ SYNC ERROR"))</f>
        <v/>
      </c>
    </row>
    <row r="185" ht="18" customHeight="1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1" t="n"/>
      <c r="L185" s="20" t="n"/>
      <c r="M185" s="21" t="n"/>
      <c r="N185" s="20" t="n"/>
      <c r="O185" s="20" t="n"/>
      <c r="P185" s="20" t="n"/>
      <c r="Q185" s="21" t="n"/>
      <c r="R185" s="20" t="n"/>
      <c r="S185" s="21" t="n"/>
      <c r="T185" s="20" t="n"/>
      <c r="U185" s="20" t="n"/>
      <c r="V185" s="20" t="n"/>
      <c r="W185" s="20" t="n"/>
      <c r="X185" s="20" t="n"/>
      <c r="Y185" s="20" t="n"/>
      <c r="Z185" s="20" t="n"/>
      <c r="AA185" s="20" t="n"/>
      <c r="AB185" s="20" t="n"/>
      <c r="AC185" s="20" t="n"/>
      <c r="AD185" s="20" t="n"/>
      <c r="AE185" s="24">
        <f>IF(M185="","",TODAY()-M185)</f>
        <v/>
      </c>
      <c r="AF185" s="25">
        <f>IF(Q185="","",IF(AND(Q185&lt;TODAY(),R185&lt;&gt;"Stage X",R185&lt;&gt;"Stage 6"),"⚠️ OVERDUE",""))</f>
        <v/>
      </c>
      <c r="AG185" s="25">
        <f>IF(A185="","",IF(R185=IFERROR(VLOOKUP(A185,Pipeline!$A:$E,5,FALSE),""),"✓","⚠️ SYNC ERROR"))</f>
        <v/>
      </c>
    </row>
    <row r="186" ht="18" customHeight="1">
      <c r="A186" s="20" t="n"/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1" t="n"/>
      <c r="L186" s="20" t="n"/>
      <c r="M186" s="21" t="n"/>
      <c r="N186" s="20" t="n"/>
      <c r="O186" s="20" t="n"/>
      <c r="P186" s="20" t="n"/>
      <c r="Q186" s="21" t="n"/>
      <c r="R186" s="20" t="n"/>
      <c r="S186" s="21" t="n"/>
      <c r="T186" s="20" t="n"/>
      <c r="U186" s="20" t="n"/>
      <c r="V186" s="20" t="n"/>
      <c r="W186" s="20" t="n"/>
      <c r="X186" s="20" t="n"/>
      <c r="Y186" s="20" t="n"/>
      <c r="Z186" s="20" t="n"/>
      <c r="AA186" s="20" t="n"/>
      <c r="AB186" s="20" t="n"/>
      <c r="AC186" s="20" t="n"/>
      <c r="AD186" s="20" t="n"/>
      <c r="AE186" s="24">
        <f>IF(M186="","",TODAY()-M186)</f>
        <v/>
      </c>
      <c r="AF186" s="25">
        <f>IF(Q186="","",IF(AND(Q186&lt;TODAY(),R186&lt;&gt;"Stage X",R186&lt;&gt;"Stage 6"),"⚠️ OVERDUE",""))</f>
        <v/>
      </c>
      <c r="AG186" s="25">
        <f>IF(A186="","",IF(R186=IFERROR(VLOOKUP(A186,Pipeline!$A:$E,5,FALSE),""),"✓","⚠️ SYNC ERROR"))</f>
        <v/>
      </c>
    </row>
    <row r="187" ht="18" customHeight="1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1" t="n"/>
      <c r="L187" s="20" t="n"/>
      <c r="M187" s="21" t="n"/>
      <c r="N187" s="20" t="n"/>
      <c r="O187" s="20" t="n"/>
      <c r="P187" s="20" t="n"/>
      <c r="Q187" s="21" t="n"/>
      <c r="R187" s="20" t="n"/>
      <c r="S187" s="21" t="n"/>
      <c r="T187" s="20" t="n"/>
      <c r="U187" s="20" t="n"/>
      <c r="V187" s="20" t="n"/>
      <c r="W187" s="20" t="n"/>
      <c r="X187" s="20" t="n"/>
      <c r="Y187" s="20" t="n"/>
      <c r="Z187" s="20" t="n"/>
      <c r="AA187" s="20" t="n"/>
      <c r="AB187" s="20" t="n"/>
      <c r="AC187" s="20" t="n"/>
      <c r="AD187" s="20" t="n"/>
      <c r="AE187" s="24">
        <f>IF(M187="","",TODAY()-M187)</f>
        <v/>
      </c>
      <c r="AF187" s="25">
        <f>IF(Q187="","",IF(AND(Q187&lt;TODAY(),R187&lt;&gt;"Stage X",R187&lt;&gt;"Stage 6"),"⚠️ OVERDUE",""))</f>
        <v/>
      </c>
      <c r="AG187" s="25">
        <f>IF(A187="","",IF(R187=IFERROR(VLOOKUP(A187,Pipeline!$A:$E,5,FALSE),""),"✓","⚠️ SYNC ERROR"))</f>
        <v/>
      </c>
    </row>
    <row r="188" ht="18" customHeight="1">
      <c r="A188" s="20" t="n"/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1" t="n"/>
      <c r="L188" s="20" t="n"/>
      <c r="M188" s="21" t="n"/>
      <c r="N188" s="20" t="n"/>
      <c r="O188" s="20" t="n"/>
      <c r="P188" s="20" t="n"/>
      <c r="Q188" s="21" t="n"/>
      <c r="R188" s="20" t="n"/>
      <c r="S188" s="21" t="n"/>
      <c r="T188" s="20" t="n"/>
      <c r="U188" s="20" t="n"/>
      <c r="V188" s="20" t="n"/>
      <c r="W188" s="20" t="n"/>
      <c r="X188" s="20" t="n"/>
      <c r="Y188" s="20" t="n"/>
      <c r="Z188" s="20" t="n"/>
      <c r="AA188" s="20" t="n"/>
      <c r="AB188" s="20" t="n"/>
      <c r="AC188" s="20" t="n"/>
      <c r="AD188" s="20" t="n"/>
      <c r="AE188" s="24">
        <f>IF(M188="","",TODAY()-M188)</f>
        <v/>
      </c>
      <c r="AF188" s="25">
        <f>IF(Q188="","",IF(AND(Q188&lt;TODAY(),R188&lt;&gt;"Stage X",R188&lt;&gt;"Stage 6"),"⚠️ OVERDUE",""))</f>
        <v/>
      </c>
      <c r="AG188" s="25">
        <f>IF(A188="","",IF(R188=IFERROR(VLOOKUP(A188,Pipeline!$A:$E,5,FALSE),""),"✓","⚠️ SYNC ERROR"))</f>
        <v/>
      </c>
    </row>
    <row r="189" ht="18" customHeight="1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1" t="n"/>
      <c r="L189" s="20" t="n"/>
      <c r="M189" s="21" t="n"/>
      <c r="N189" s="20" t="n"/>
      <c r="O189" s="20" t="n"/>
      <c r="P189" s="20" t="n"/>
      <c r="Q189" s="21" t="n"/>
      <c r="R189" s="20" t="n"/>
      <c r="S189" s="21" t="n"/>
      <c r="T189" s="20" t="n"/>
      <c r="U189" s="20" t="n"/>
      <c r="V189" s="20" t="n"/>
      <c r="W189" s="20" t="n"/>
      <c r="X189" s="20" t="n"/>
      <c r="Y189" s="20" t="n"/>
      <c r="Z189" s="20" t="n"/>
      <c r="AA189" s="20" t="n"/>
      <c r="AB189" s="20" t="n"/>
      <c r="AC189" s="20" t="n"/>
      <c r="AD189" s="20" t="n"/>
      <c r="AE189" s="24">
        <f>IF(M189="","",TODAY()-M189)</f>
        <v/>
      </c>
      <c r="AF189" s="25">
        <f>IF(Q189="","",IF(AND(Q189&lt;TODAY(),R189&lt;&gt;"Stage X",R189&lt;&gt;"Stage 6"),"⚠️ OVERDUE",""))</f>
        <v/>
      </c>
      <c r="AG189" s="25">
        <f>IF(A189="","",IF(R189=IFERROR(VLOOKUP(A189,Pipeline!$A:$E,5,FALSE),""),"✓","⚠️ SYNC ERROR"))</f>
        <v/>
      </c>
    </row>
    <row r="190" ht="18" customHeight="1">
      <c r="A190" s="20" t="n"/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1" t="n"/>
      <c r="L190" s="20" t="n"/>
      <c r="M190" s="21" t="n"/>
      <c r="N190" s="20" t="n"/>
      <c r="O190" s="20" t="n"/>
      <c r="P190" s="20" t="n"/>
      <c r="Q190" s="21" t="n"/>
      <c r="R190" s="20" t="n"/>
      <c r="S190" s="21" t="n"/>
      <c r="T190" s="20" t="n"/>
      <c r="U190" s="20" t="n"/>
      <c r="V190" s="20" t="n"/>
      <c r="W190" s="20" t="n"/>
      <c r="X190" s="20" t="n"/>
      <c r="Y190" s="20" t="n"/>
      <c r="Z190" s="20" t="n"/>
      <c r="AA190" s="20" t="n"/>
      <c r="AB190" s="20" t="n"/>
      <c r="AC190" s="20" t="n"/>
      <c r="AD190" s="20" t="n"/>
      <c r="AE190" s="24">
        <f>IF(M190="","",TODAY()-M190)</f>
        <v/>
      </c>
      <c r="AF190" s="25">
        <f>IF(Q190="","",IF(AND(Q190&lt;TODAY(),R190&lt;&gt;"Stage X",R190&lt;&gt;"Stage 6"),"⚠️ OVERDUE",""))</f>
        <v/>
      </c>
      <c r="AG190" s="25">
        <f>IF(A190="","",IF(R190=IFERROR(VLOOKUP(A190,Pipeline!$A:$E,5,FALSE),""),"✓","⚠️ SYNC ERROR"))</f>
        <v/>
      </c>
    </row>
    <row r="191" ht="18" customHeight="1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1" t="n"/>
      <c r="L191" s="20" t="n"/>
      <c r="M191" s="21" t="n"/>
      <c r="N191" s="20" t="n"/>
      <c r="O191" s="20" t="n"/>
      <c r="P191" s="20" t="n"/>
      <c r="Q191" s="21" t="n"/>
      <c r="R191" s="20" t="n"/>
      <c r="S191" s="21" t="n"/>
      <c r="T191" s="20" t="n"/>
      <c r="U191" s="20" t="n"/>
      <c r="V191" s="20" t="n"/>
      <c r="W191" s="20" t="n"/>
      <c r="X191" s="20" t="n"/>
      <c r="Y191" s="20" t="n"/>
      <c r="Z191" s="20" t="n"/>
      <c r="AA191" s="20" t="n"/>
      <c r="AB191" s="20" t="n"/>
      <c r="AC191" s="20" t="n"/>
      <c r="AD191" s="20" t="n"/>
      <c r="AE191" s="24">
        <f>IF(M191="","",TODAY()-M191)</f>
        <v/>
      </c>
      <c r="AF191" s="25">
        <f>IF(Q191="","",IF(AND(Q191&lt;TODAY(),R191&lt;&gt;"Stage X",R191&lt;&gt;"Stage 6"),"⚠️ OVERDUE",""))</f>
        <v/>
      </c>
      <c r="AG191" s="25">
        <f>IF(A191="","",IF(R191=IFERROR(VLOOKUP(A191,Pipeline!$A:$E,5,FALSE),""),"✓","⚠️ SYNC ERROR"))</f>
        <v/>
      </c>
    </row>
    <row r="192" ht="18" customHeight="1">
      <c r="A192" s="20" t="n"/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1" t="n"/>
      <c r="L192" s="20" t="n"/>
      <c r="M192" s="21" t="n"/>
      <c r="N192" s="20" t="n"/>
      <c r="O192" s="20" t="n"/>
      <c r="P192" s="20" t="n"/>
      <c r="Q192" s="21" t="n"/>
      <c r="R192" s="20" t="n"/>
      <c r="S192" s="21" t="n"/>
      <c r="T192" s="20" t="n"/>
      <c r="U192" s="20" t="n"/>
      <c r="V192" s="20" t="n"/>
      <c r="W192" s="20" t="n"/>
      <c r="X192" s="20" t="n"/>
      <c r="Y192" s="20" t="n"/>
      <c r="Z192" s="20" t="n"/>
      <c r="AA192" s="20" t="n"/>
      <c r="AB192" s="20" t="n"/>
      <c r="AC192" s="20" t="n"/>
      <c r="AD192" s="20" t="n"/>
      <c r="AE192" s="24">
        <f>IF(M192="","",TODAY()-M192)</f>
        <v/>
      </c>
      <c r="AF192" s="25">
        <f>IF(Q192="","",IF(AND(Q192&lt;TODAY(),R192&lt;&gt;"Stage X",R192&lt;&gt;"Stage 6"),"⚠️ OVERDUE",""))</f>
        <v/>
      </c>
      <c r="AG192" s="25">
        <f>IF(A192="","",IF(R192=IFERROR(VLOOKUP(A192,Pipeline!$A:$E,5,FALSE),""),"✓","⚠️ SYNC ERROR"))</f>
        <v/>
      </c>
    </row>
    <row r="193" ht="18" customHeight="1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1" t="n"/>
      <c r="L193" s="20" t="n"/>
      <c r="M193" s="21" t="n"/>
      <c r="N193" s="20" t="n"/>
      <c r="O193" s="20" t="n"/>
      <c r="P193" s="20" t="n"/>
      <c r="Q193" s="21" t="n"/>
      <c r="R193" s="20" t="n"/>
      <c r="S193" s="21" t="n"/>
      <c r="T193" s="20" t="n"/>
      <c r="U193" s="20" t="n"/>
      <c r="V193" s="20" t="n"/>
      <c r="W193" s="20" t="n"/>
      <c r="X193" s="20" t="n"/>
      <c r="Y193" s="20" t="n"/>
      <c r="Z193" s="20" t="n"/>
      <c r="AA193" s="20" t="n"/>
      <c r="AB193" s="20" t="n"/>
      <c r="AC193" s="20" t="n"/>
      <c r="AD193" s="20" t="n"/>
      <c r="AE193" s="24">
        <f>IF(M193="","",TODAY()-M193)</f>
        <v/>
      </c>
      <c r="AF193" s="25">
        <f>IF(Q193="","",IF(AND(Q193&lt;TODAY(),R193&lt;&gt;"Stage X",R193&lt;&gt;"Stage 6"),"⚠️ OVERDUE",""))</f>
        <v/>
      </c>
      <c r="AG193" s="25">
        <f>IF(A193="","",IF(R193=IFERROR(VLOOKUP(A193,Pipeline!$A:$E,5,FALSE),""),"✓","⚠️ SYNC ERROR"))</f>
        <v/>
      </c>
    </row>
    <row r="194" ht="18" customHeight="1">
      <c r="A194" s="20" t="n"/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1" t="n"/>
      <c r="L194" s="20" t="n"/>
      <c r="M194" s="21" t="n"/>
      <c r="N194" s="20" t="n"/>
      <c r="O194" s="20" t="n"/>
      <c r="P194" s="20" t="n"/>
      <c r="Q194" s="21" t="n"/>
      <c r="R194" s="20" t="n"/>
      <c r="S194" s="21" t="n"/>
      <c r="T194" s="20" t="n"/>
      <c r="U194" s="20" t="n"/>
      <c r="V194" s="20" t="n"/>
      <c r="W194" s="20" t="n"/>
      <c r="X194" s="20" t="n"/>
      <c r="Y194" s="20" t="n"/>
      <c r="Z194" s="20" t="n"/>
      <c r="AA194" s="20" t="n"/>
      <c r="AB194" s="20" t="n"/>
      <c r="AC194" s="20" t="n"/>
      <c r="AD194" s="20" t="n"/>
      <c r="AE194" s="24">
        <f>IF(M194="","",TODAY()-M194)</f>
        <v/>
      </c>
      <c r="AF194" s="25">
        <f>IF(Q194="","",IF(AND(Q194&lt;TODAY(),R194&lt;&gt;"Stage X",R194&lt;&gt;"Stage 6"),"⚠️ OVERDUE",""))</f>
        <v/>
      </c>
      <c r="AG194" s="25">
        <f>IF(A194="","",IF(R194=IFERROR(VLOOKUP(A194,Pipeline!$A:$E,5,FALSE),""),"✓","⚠️ SYNC ERROR"))</f>
        <v/>
      </c>
    </row>
    <row r="195" ht="18" customHeight="1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1" t="n"/>
      <c r="L195" s="20" t="n"/>
      <c r="M195" s="21" t="n"/>
      <c r="N195" s="20" t="n"/>
      <c r="O195" s="20" t="n"/>
      <c r="P195" s="20" t="n"/>
      <c r="Q195" s="21" t="n"/>
      <c r="R195" s="20" t="n"/>
      <c r="S195" s="21" t="n"/>
      <c r="T195" s="20" t="n"/>
      <c r="U195" s="20" t="n"/>
      <c r="V195" s="20" t="n"/>
      <c r="W195" s="20" t="n"/>
      <c r="X195" s="20" t="n"/>
      <c r="Y195" s="20" t="n"/>
      <c r="Z195" s="20" t="n"/>
      <c r="AA195" s="20" t="n"/>
      <c r="AB195" s="20" t="n"/>
      <c r="AC195" s="20" t="n"/>
      <c r="AD195" s="20" t="n"/>
      <c r="AE195" s="24">
        <f>IF(M195="","",TODAY()-M195)</f>
        <v/>
      </c>
      <c r="AF195" s="25">
        <f>IF(Q195="","",IF(AND(Q195&lt;TODAY(),R195&lt;&gt;"Stage X",R195&lt;&gt;"Stage 6"),"⚠️ OVERDUE",""))</f>
        <v/>
      </c>
      <c r="AG195" s="25">
        <f>IF(A195="","",IF(R195=IFERROR(VLOOKUP(A195,Pipeline!$A:$E,5,FALSE),""),"✓","⚠️ SYNC ERROR"))</f>
        <v/>
      </c>
    </row>
    <row r="196" ht="18" customHeight="1">
      <c r="A196" s="20" t="n"/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1" t="n"/>
      <c r="L196" s="20" t="n"/>
      <c r="M196" s="21" t="n"/>
      <c r="N196" s="20" t="n"/>
      <c r="O196" s="20" t="n"/>
      <c r="P196" s="20" t="n"/>
      <c r="Q196" s="21" t="n"/>
      <c r="R196" s="20" t="n"/>
      <c r="S196" s="21" t="n"/>
      <c r="T196" s="20" t="n"/>
      <c r="U196" s="20" t="n"/>
      <c r="V196" s="20" t="n"/>
      <c r="W196" s="20" t="n"/>
      <c r="X196" s="20" t="n"/>
      <c r="Y196" s="20" t="n"/>
      <c r="Z196" s="20" t="n"/>
      <c r="AA196" s="20" t="n"/>
      <c r="AB196" s="20" t="n"/>
      <c r="AC196" s="20" t="n"/>
      <c r="AD196" s="20" t="n"/>
      <c r="AE196" s="24">
        <f>IF(M196="","",TODAY()-M196)</f>
        <v/>
      </c>
      <c r="AF196" s="25">
        <f>IF(Q196="","",IF(AND(Q196&lt;TODAY(),R196&lt;&gt;"Stage X",R196&lt;&gt;"Stage 6"),"⚠️ OVERDUE",""))</f>
        <v/>
      </c>
      <c r="AG196" s="25">
        <f>IF(A196="","",IF(R196=IFERROR(VLOOKUP(A196,Pipeline!$A:$E,5,FALSE),""),"✓","⚠️ SYNC ERROR"))</f>
        <v/>
      </c>
    </row>
    <row r="197" ht="18" customHeight="1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1" t="n"/>
      <c r="L197" s="20" t="n"/>
      <c r="M197" s="21" t="n"/>
      <c r="N197" s="20" t="n"/>
      <c r="O197" s="20" t="n"/>
      <c r="P197" s="20" t="n"/>
      <c r="Q197" s="21" t="n"/>
      <c r="R197" s="20" t="n"/>
      <c r="S197" s="21" t="n"/>
      <c r="T197" s="20" t="n"/>
      <c r="U197" s="20" t="n"/>
      <c r="V197" s="20" t="n"/>
      <c r="W197" s="20" t="n"/>
      <c r="X197" s="20" t="n"/>
      <c r="Y197" s="20" t="n"/>
      <c r="Z197" s="20" t="n"/>
      <c r="AA197" s="20" t="n"/>
      <c r="AB197" s="20" t="n"/>
      <c r="AC197" s="20" t="n"/>
      <c r="AD197" s="20" t="n"/>
      <c r="AE197" s="24">
        <f>IF(M197="","",TODAY()-M197)</f>
        <v/>
      </c>
      <c r="AF197" s="25">
        <f>IF(Q197="","",IF(AND(Q197&lt;TODAY(),R197&lt;&gt;"Stage X",R197&lt;&gt;"Stage 6"),"⚠️ OVERDUE",""))</f>
        <v/>
      </c>
      <c r="AG197" s="25">
        <f>IF(A197="","",IF(R197=IFERROR(VLOOKUP(A197,Pipeline!$A:$E,5,FALSE),""),"✓","⚠️ SYNC ERROR"))</f>
        <v/>
      </c>
    </row>
    <row r="198" ht="18" customHeight="1">
      <c r="A198" s="20" t="n"/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1" t="n"/>
      <c r="L198" s="20" t="n"/>
      <c r="M198" s="21" t="n"/>
      <c r="N198" s="20" t="n"/>
      <c r="O198" s="20" t="n"/>
      <c r="P198" s="20" t="n"/>
      <c r="Q198" s="21" t="n"/>
      <c r="R198" s="20" t="n"/>
      <c r="S198" s="21" t="n"/>
      <c r="T198" s="20" t="n"/>
      <c r="U198" s="20" t="n"/>
      <c r="V198" s="20" t="n"/>
      <c r="W198" s="20" t="n"/>
      <c r="X198" s="20" t="n"/>
      <c r="Y198" s="20" t="n"/>
      <c r="Z198" s="20" t="n"/>
      <c r="AA198" s="20" t="n"/>
      <c r="AB198" s="20" t="n"/>
      <c r="AC198" s="20" t="n"/>
      <c r="AD198" s="20" t="n"/>
      <c r="AE198" s="24">
        <f>IF(M198="","",TODAY()-M198)</f>
        <v/>
      </c>
      <c r="AF198" s="25">
        <f>IF(Q198="","",IF(AND(Q198&lt;TODAY(),R198&lt;&gt;"Stage X",R198&lt;&gt;"Stage 6"),"⚠️ OVERDUE",""))</f>
        <v/>
      </c>
      <c r="AG198" s="25">
        <f>IF(A198="","",IF(R198=IFERROR(VLOOKUP(A198,Pipeline!$A:$E,5,FALSE),""),"✓","⚠️ SYNC ERROR"))</f>
        <v/>
      </c>
    </row>
    <row r="199" ht="18" customHeight="1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1" t="n"/>
      <c r="L199" s="20" t="n"/>
      <c r="M199" s="21" t="n"/>
      <c r="N199" s="20" t="n"/>
      <c r="O199" s="20" t="n"/>
      <c r="P199" s="20" t="n"/>
      <c r="Q199" s="21" t="n"/>
      <c r="R199" s="20" t="n"/>
      <c r="S199" s="21" t="n"/>
      <c r="T199" s="20" t="n"/>
      <c r="U199" s="20" t="n"/>
      <c r="V199" s="20" t="n"/>
      <c r="W199" s="20" t="n"/>
      <c r="X199" s="20" t="n"/>
      <c r="Y199" s="20" t="n"/>
      <c r="Z199" s="20" t="n"/>
      <c r="AA199" s="20" t="n"/>
      <c r="AB199" s="20" t="n"/>
      <c r="AC199" s="20" t="n"/>
      <c r="AD199" s="20" t="n"/>
      <c r="AE199" s="24">
        <f>IF(M199="","",TODAY()-M199)</f>
        <v/>
      </c>
      <c r="AF199" s="25">
        <f>IF(Q199="","",IF(AND(Q199&lt;TODAY(),R199&lt;&gt;"Stage X",R199&lt;&gt;"Stage 6"),"⚠️ OVERDUE",""))</f>
        <v/>
      </c>
      <c r="AG199" s="25">
        <f>IF(A199="","",IF(R199=IFERROR(VLOOKUP(A199,Pipeline!$A:$E,5,FALSE),""),"✓","⚠️ SYNC ERROR"))</f>
        <v/>
      </c>
    </row>
    <row r="200" ht="18" customHeight="1">
      <c r="A200" s="20" t="n"/>
      <c r="B200" s="20" t="n"/>
      <c r="C200" s="20" t="n"/>
      <c r="D200" s="20" t="n"/>
      <c r="E200" s="20" t="n"/>
      <c r="F200" s="20" t="n"/>
      <c r="G200" s="20" t="n"/>
      <c r="H200" s="20" t="n"/>
      <c r="I200" s="20" t="n"/>
      <c r="J200" s="20" t="n"/>
      <c r="K200" s="21" t="n"/>
      <c r="L200" s="20" t="n"/>
      <c r="M200" s="21" t="n"/>
      <c r="N200" s="20" t="n"/>
      <c r="O200" s="20" t="n"/>
      <c r="P200" s="20" t="n"/>
      <c r="Q200" s="21" t="n"/>
      <c r="R200" s="20" t="n"/>
      <c r="S200" s="21" t="n"/>
      <c r="T200" s="20" t="n"/>
      <c r="U200" s="20" t="n"/>
      <c r="V200" s="20" t="n"/>
      <c r="W200" s="20" t="n"/>
      <c r="X200" s="20" t="n"/>
      <c r="Y200" s="20" t="n"/>
      <c r="Z200" s="20" t="n"/>
      <c r="AA200" s="20" t="n"/>
      <c r="AB200" s="20" t="n"/>
      <c r="AC200" s="20" t="n"/>
      <c r="AD200" s="20" t="n"/>
      <c r="AE200" s="24">
        <f>IF(M200="","",TODAY()-M200)</f>
        <v/>
      </c>
      <c r="AF200" s="25">
        <f>IF(Q200="","",IF(AND(Q200&lt;TODAY(),R200&lt;&gt;"Stage X",R200&lt;&gt;"Stage 6"),"⚠️ OVERDUE",""))</f>
        <v/>
      </c>
      <c r="AG200" s="25">
        <f>IF(A200="","",IF(R200=IFERROR(VLOOKUP(A200,Pipeline!$A:$E,5,FALSE),""),"✓","⚠️ SYNC ERROR"))</f>
        <v/>
      </c>
    </row>
    <row r="201" ht="18" customHeight="1">
      <c r="A201" s="20" t="n"/>
      <c r="B201" s="20" t="n"/>
      <c r="C201" s="20" t="n"/>
      <c r="D201" s="20" t="n"/>
      <c r="E201" s="20" t="n"/>
      <c r="F201" s="20" t="n"/>
      <c r="G201" s="20" t="n"/>
      <c r="H201" s="20" t="n"/>
      <c r="I201" s="20" t="n"/>
      <c r="J201" s="20" t="n"/>
      <c r="K201" s="21" t="n"/>
      <c r="L201" s="20" t="n"/>
      <c r="M201" s="21" t="n"/>
      <c r="N201" s="20" t="n"/>
      <c r="O201" s="20" t="n"/>
      <c r="P201" s="20" t="n"/>
      <c r="Q201" s="21" t="n"/>
      <c r="R201" s="20" t="n"/>
      <c r="S201" s="21" t="n"/>
      <c r="T201" s="20" t="n"/>
      <c r="U201" s="20" t="n"/>
      <c r="V201" s="20" t="n"/>
      <c r="W201" s="20" t="n"/>
      <c r="X201" s="20" t="n"/>
      <c r="Y201" s="20" t="n"/>
      <c r="Z201" s="20" t="n"/>
      <c r="AA201" s="20" t="n"/>
      <c r="AB201" s="20" t="n"/>
      <c r="AC201" s="20" t="n"/>
      <c r="AD201" s="20" t="n"/>
      <c r="AE201" s="24">
        <f>IF(M201="","",TODAY()-M201)</f>
        <v/>
      </c>
      <c r="AF201" s="25">
        <f>IF(Q201="","",IF(AND(Q201&lt;TODAY(),R201&lt;&gt;"Stage X",R201&lt;&gt;"Stage 6"),"⚠️ OVERDUE",""))</f>
        <v/>
      </c>
      <c r="AG201" s="25">
        <f>IF(A201="","",IF(R201=IFERROR(VLOOKUP(A201,Pipeline!$A:$E,5,FALSE),""),"✓","⚠️ SYNC ERROR"))</f>
        <v/>
      </c>
    </row>
  </sheetData>
  <autoFilter ref="A1:AD1"/>
  <conditionalFormatting sqref="A2:AA201">
    <cfRule type="expression" priority="1" dxfId="6">
      <formula>=$Z2="Hot"</formula>
    </cfRule>
    <cfRule type="expression" priority="2" dxfId="7">
      <formula>=$Z2="Warm"</formula>
    </cfRule>
    <cfRule type="expression" priority="3" dxfId="2">
      <formula>=$Z2="Cold"</formula>
    </cfRule>
    <cfRule type="expression" priority="4" dxfId="8">
      <formula>=$Z2="Dead"</formula>
    </cfRule>
  </conditionalFormatting>
  <conditionalFormatting sqref="Q2:Q201">
    <cfRule type="expression" priority="5" dxfId="9">
      <formula>=AND($Q2&lt;TODAY(),$R2&lt;&gt;"Stage X",$R2&lt;&gt;"Stage 6",$Q2&lt;&gt;"")</formula>
    </cfRule>
  </conditionalFormatting>
  <conditionalFormatting sqref="R2:R201">
    <cfRule type="expression" priority="6" dxfId="10">
      <formula>=$R2="Stage 0"</formula>
    </cfRule>
    <cfRule type="expression" priority="7" dxfId="11">
      <formula>=$R2="Stage 1"</formula>
    </cfRule>
    <cfRule type="expression" priority="8" dxfId="6">
      <formula>=$R2="Stage 2"</formula>
    </cfRule>
    <cfRule type="expression" priority="9" dxfId="12">
      <formula>=$R2="Stage 3"</formula>
    </cfRule>
    <cfRule type="expression" priority="10" dxfId="13">
      <formula>=$R2="Stage 4"</formula>
    </cfRule>
    <cfRule type="expression" priority="11" dxfId="14">
      <formula>=$R2="Stage 5"</formula>
    </cfRule>
    <cfRule type="expression" priority="12" dxfId="15">
      <formula>=$R2="Stage 6"</formula>
    </cfRule>
    <cfRule type="expression" priority="13" dxfId="16">
      <formula>=$R2="Stage X"</formula>
    </cfRule>
  </conditionalFormatting>
  <conditionalFormatting sqref="A2:A201">
    <cfRule type="expression" priority="14" dxfId="2">
      <formula>=COUNTIF($A$2:$A$201,A2)&gt;1</formula>
    </cfRule>
  </conditionalFormatting>
  <conditionalFormatting sqref="AE2:AE201">
    <cfRule type="expression" priority="15" dxfId="2">
      <formula>=AND(AE2&gt;14,$R2&lt;&gt;"Stage X")</formula>
    </cfRule>
    <cfRule type="expression" priority="16" dxfId="1">
      <formula>=AND(AE2&gt;7,AE2&lt;=14,$R2&lt;&gt;"Stage X")</formula>
    </cfRule>
  </conditionalFormatting>
  <dataValidations count="10">
    <dataValidation sqref="C2:C201" showDropDown="0" showInputMessage="0" showErrorMessage="1" allowBlank="1" errorTitle="Invalid Entry" error="Select from category list" type="list">
      <formula1>"FMCG,Beverage,Beauty,Personal Care,Pharma-OTC,Food,Home Care,Dairy,Snacks,Other"</formula1>
    </dataValidation>
    <dataValidation sqref="D2:D201" showDropDown="0" showInputMessage="0" showErrorMessage="1" allowBlank="1" errorTitle="Invalid Entry" error="Select Tier 1, 2, or 3" type="list">
      <formula1>"Tier 1,Tier 2,Tier 3"</formula1>
    </dataValidation>
    <dataValidation sqref="I2:I201" showDropDown="0" showInputMessage="0" showErrorMessage="1" allowBlank="1" errorTitle="Invalid Entry" error="Select from list" type="list">
      <formula1>"Cold,Warm intro,Mutual connection,Conference,Referral"</formula1>
    </dataValidation>
    <dataValidation sqref="L2:L201" showDropDown="0" showInputMessage="0" showErrorMessage="1" allowBlank="1" errorTitle="Invalid Entry" error="Select from list" type="list">
      <formula1>"LinkedIn,Email,WhatsApp,Phone,In-person"</formula1>
    </dataValidation>
    <dataValidation sqref="N2:N201" showDropDown="0" showInputMessage="0" showErrorMessage="1" allowBlank="1" errorTitle="Invalid Entry" error="Select from list" type="list">
      <formula1>"Sent message,Replied,Call booked,Call held,Email sent,Deck sent,Proposal sent,LOI sent,No response"</formula1>
    </dataValidation>
    <dataValidation sqref="R2:R201" showDropDown="0" showInputMessage="0" showErrorMessage="1" allowBlank="1" errorTitle="Invalid Entry" error="Select from list" type="list">
      <formula1>"Stage 0,Stage 1,Stage 2,Stage 3,Stage 4,Stage 5,Stage 6,Stage X"</formula1>
    </dataValidation>
    <dataValidation sqref="T2:T201" showDropDown="0" showInputMessage="0" showErrorMessage="1" allowBlank="1" errorTitle="Invalid Entry" error="Select from list" type="list">
      <formula1>"Interested,Not Interested,Needs Follow-up,Escalating Internally"</formula1>
    </dataValidation>
    <dataValidation sqref="W2:W201" showDropDown="0" showInputMessage="0" showErrorMessage="1" allowBlank="1" errorTitle="Invalid Entry" error="Select from list" type="list">
      <formula1>"Yes,No,Unknown"</formula1>
    </dataValidation>
    <dataValidation sqref="Y2:Y201" showDropDown="0" showInputMessage="0" showErrorMessage="1" allowBlank="1" errorTitle="Invalid Entry" error="Select from list" type="list">
      <formula1>"High (&gt;$10K),Medium ($4–10K),Low (&lt;$4K),Unknown"</formula1>
    </dataValidation>
    <dataValidation sqref="Z2:Z201" showDropDown="0" showInputMessage="0" showErrorMessage="1" allowBlank="1" errorTitle="Invalid Entry" error="Select from list" type="list">
      <formula1>"Hot,Warm,Cold,Dead"</formula1>
    </dataValidation>
  </dataValidations>
  <pageMargins left="0.75" right="0.75" top="1" bottom="1" header="0.5" footer="0.5"/>
  <pageSetup orientation="landscape" fitToWidth="1"/>
  <headerFooter>
    <oddHeader/>
    <oddFooter>&amp;CMEOS v1.0 · Tajribti Track 0 · Built 2026-07-27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7C3AED"/>
    <outlinePr summaryBelow="1" summaryRight="1"/>
    <pageSetUpPr fitToPage="1"/>
  </sheetPr>
  <dimension ref="A1:J200"/>
  <sheetViews>
    <sheetView workbookViewId="0">
      <pane xSplit="1" ySplit="14" topLeftCell="B1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8.7" customWidth="1" min="3" max="3"/>
    <col width="14.7" customWidth="1" min="4" max="4"/>
    <col width="16" customWidth="1" min="5" max="5"/>
    <col width="16" customWidth="1" min="6" max="6"/>
    <col width="13.3" customWidth="1" min="7" max="7"/>
    <col width="16" customWidth="1" min="8" max="8"/>
    <col width="16" customWidth="1" min="9" max="9"/>
    <col width="46.7" customWidth="1" min="10" max="10"/>
  </cols>
  <sheetData>
    <row r="1" ht="22.5" customHeight="1">
      <c r="A1" s="26" t="inlineStr">
        <is>
          <t>TAJRIBTI · BRAND PIPELINE · Track 0</t>
        </is>
      </c>
    </row>
    <row r="2" ht="19.5" customHeight="1">
      <c r="A2" s="27" t="inlineStr">
        <is>
          <t>PIPELINE HEALTH — LIVE COUNTS</t>
        </is>
      </c>
    </row>
    <row r="3" ht="15" customHeight="1">
      <c r="A3" s="28" t="inlineStr">
        <is>
          <t>Stage 0 — Identified</t>
        </is>
      </c>
      <c r="B3" s="29">
        <f>COUNTIF(E15:E500,"Stage 0")</f>
        <v/>
      </c>
      <c r="D3" s="6" t="inlineStr">
        <is>
          <t>Total Accounts</t>
        </is>
      </c>
      <c r="E3" s="29">
        <f>COUNTA(A15:A500)</f>
        <v/>
      </c>
    </row>
    <row r="4" ht="15" customHeight="1">
      <c r="A4" s="28" t="inlineStr">
        <is>
          <t>Stage 1 — Contacted</t>
        </is>
      </c>
      <c r="B4" s="29">
        <f>COUNTIF(E15:E500,"Stage 1")</f>
        <v/>
      </c>
      <c r="D4" s="6" t="inlineStr">
        <is>
          <t>Active Accounts</t>
        </is>
      </c>
      <c r="E4" s="29">
        <f>COUNTIF(E15:E500,"Stage 0")+COUNTIF(E15:E500,"Stage 1")+COUNTIF(E15:E500,"Stage 2")+COUNTIF(E15:E500,"Stage 3")+COUNTIF(E15:E500,"Stage 4")+COUNTIF(E15:E500,"Stage 5")</f>
        <v/>
      </c>
    </row>
    <row r="5" ht="15" customHeight="1">
      <c r="A5" s="28" t="inlineStr">
        <is>
          <t>Stage 2 — Engaged</t>
        </is>
      </c>
      <c r="B5" s="29">
        <f>COUNTIF(E15:E500,"Stage 2")</f>
        <v/>
      </c>
      <c r="D5" s="6" t="inlineStr">
        <is>
          <t>Kill Criterion Target</t>
        </is>
      </c>
      <c r="E5" s="30" t="n">
        <v>5</v>
      </c>
      <c r="F5" s="31">
        <f>IF(B12&gt;=5,"✅ YES","❌ NO — "&amp;(5-B12)&amp;" more needed")</f>
        <v/>
      </c>
    </row>
    <row r="6" ht="15" customHeight="1">
      <c r="A6" s="28" t="inlineStr">
        <is>
          <t>Stage 3 — Discovery</t>
        </is>
      </c>
      <c r="B6" s="29">
        <f>COUNTIF(E15:E500,"Stage 3")</f>
        <v/>
      </c>
    </row>
    <row r="7" ht="15" customHeight="1">
      <c r="A7" s="28" t="inlineStr">
        <is>
          <t>Stage 4 — Proposal</t>
        </is>
      </c>
      <c r="B7" s="29">
        <f>COUNTIF(E15:E500,"Stage 4")</f>
        <v/>
      </c>
    </row>
    <row r="8" ht="15" customHeight="1">
      <c r="A8" s="28" t="inlineStr">
        <is>
          <t>Stage 5 — LOI</t>
        </is>
      </c>
      <c r="B8" s="29">
        <f>COUNTIF(E15:E500,"Stage 5")</f>
        <v/>
      </c>
    </row>
    <row r="9" ht="15" customHeight="1">
      <c r="A9" s="28" t="inlineStr">
        <is>
          <t>Stage 6 — Pilot Signed</t>
        </is>
      </c>
      <c r="B9" s="29">
        <f>COUNTIF(E15:E500,"Stage 6")</f>
        <v/>
      </c>
    </row>
    <row r="10" ht="15" customHeight="1">
      <c r="A10" s="28" t="inlineStr">
        <is>
          <t>Stage X — Dead</t>
        </is>
      </c>
      <c r="B10" s="29">
        <f>COUNTIF(E15:E500,"Stage X")</f>
        <v/>
      </c>
    </row>
    <row r="11" ht="6" customHeight="1">
      <c r="A11" s="32" t="inlineStr">
        <is>
          <t>—</t>
        </is>
      </c>
    </row>
    <row r="12" ht="18" customHeight="1">
      <c r="A12" s="33" t="inlineStr">
        <is>
          <t>KILL CRITERION COUNT (Stage 2+)</t>
        </is>
      </c>
      <c r="B12" s="34">
        <f>COUNTIF(E15:E500,"Stage 2")+COUNTIF(E15:E500,"Stage 3")+COUNTIF(E15:E500,"Stage 4")+COUNTIF(E15:E500,"Stage 5")+COUNTIF(E15:E500,"Stage 6")</f>
        <v/>
      </c>
    </row>
    <row r="13" ht="6" customHeight="1"/>
    <row r="14" ht="24" customHeight="1">
      <c r="A14" s="35" t="inlineStr">
        <is>
          <t>Account ID</t>
        </is>
      </c>
      <c r="B14" s="35" t="inlineStr">
        <is>
          <t>Company Name</t>
        </is>
      </c>
      <c r="C14" s="35" t="inlineStr">
        <is>
          <t>Category</t>
        </is>
      </c>
      <c r="D14" s="35" t="inlineStr">
        <is>
          <t>Priority Tier</t>
        </is>
      </c>
      <c r="E14" s="35" t="inlineStr">
        <is>
          <t>Current Stage</t>
        </is>
      </c>
      <c r="F14" s="35" t="inlineStr">
        <is>
          <t>Stage Entry Date</t>
        </is>
      </c>
      <c r="G14" s="35" t="inlineStr">
        <is>
          <t>Days in Stage</t>
        </is>
      </c>
      <c r="H14" s="35" t="inlineStr">
        <is>
          <t>Stage Age Flag</t>
        </is>
      </c>
      <c r="I14" s="35" t="inlineStr">
        <is>
          <t>Last Moved</t>
        </is>
      </c>
      <c r="J14" s="35" t="inlineStr">
        <is>
          <t>Notes</t>
        </is>
      </c>
    </row>
    <row r="15" ht="18" customHeight="1">
      <c r="A15" s="17" t="inlineStr">
        <is>
          <t>BRD-001</t>
        </is>
      </c>
      <c r="B15" s="18" t="inlineStr">
        <is>
          <t>Procter &amp; Gamble Egypt</t>
        </is>
      </c>
      <c r="C15" s="19" t="inlineStr">
        <is>
          <t>Personal Care</t>
        </is>
      </c>
      <c r="D15" s="19" t="inlineStr">
        <is>
          <t>Tier 1</t>
        </is>
      </c>
      <c r="E15" s="36" t="inlineStr">
        <is>
          <t>Stage 0</t>
        </is>
      </c>
      <c r="F15" s="21" t="n"/>
      <c r="G15" s="24">
        <f>IF(F15="","",TODAY()-F15)</f>
        <v/>
      </c>
      <c r="H15" s="25">
        <f>IF(OR(E15="Stage X",E15="Stage 6",E15="",F15=""),"—",IF(AND(G15&gt;14,OR(E15="Stage 1",E15="Stage 2",E15="Stage 3",E15="Stage 4")),"🔴 AGED",IF(AND(G15&gt;7,OR(E15="Stage 2",E15="Stage 3",E15="Stage 4")),"🟡 WATCH","—")))</f>
        <v/>
      </c>
      <c r="I15" s="21" t="n"/>
      <c r="J15" s="20" t="n"/>
    </row>
    <row r="16" ht="18" customHeight="1">
      <c r="A16" s="17" t="inlineStr">
        <is>
          <t>BRD-002</t>
        </is>
      </c>
      <c r="B16" s="18" t="inlineStr">
        <is>
          <t>Unilever Egypt</t>
        </is>
      </c>
      <c r="C16" s="19" t="inlineStr">
        <is>
          <t>Personal Care</t>
        </is>
      </c>
      <c r="D16" s="19" t="inlineStr">
        <is>
          <t>Tier 1</t>
        </is>
      </c>
      <c r="E16" s="36" t="inlineStr">
        <is>
          <t>Stage 0</t>
        </is>
      </c>
      <c r="F16" s="21" t="n"/>
      <c r="G16" s="24">
        <f>IF(F16="","",TODAY()-F16)</f>
        <v/>
      </c>
      <c r="H16" s="25">
        <f>IF(OR(E16="Stage X",E16="Stage 6",E16="",F16=""),"—",IF(AND(G16&gt;14,OR(E16="Stage 1",E16="Stage 2",E16="Stage 3",E16="Stage 4")),"🔴 AGED",IF(AND(G16&gt;7,OR(E16="Stage 2",E16="Stage 3",E16="Stage 4")),"🟡 WATCH","—")))</f>
        <v/>
      </c>
      <c r="I16" s="21" t="n"/>
      <c r="J16" s="20" t="n"/>
    </row>
    <row r="17" ht="18" customHeight="1">
      <c r="A17" s="17" t="inlineStr">
        <is>
          <t>BRD-003</t>
        </is>
      </c>
      <c r="B17" s="18" t="inlineStr">
        <is>
          <t>Nestlé Egypt</t>
        </is>
      </c>
      <c r="C17" s="19" t="inlineStr">
        <is>
          <t>Food</t>
        </is>
      </c>
      <c r="D17" s="19" t="inlineStr">
        <is>
          <t>Tier 1</t>
        </is>
      </c>
      <c r="E17" s="36" t="inlineStr">
        <is>
          <t>Stage 0</t>
        </is>
      </c>
      <c r="F17" s="21" t="n"/>
      <c r="G17" s="24">
        <f>IF(F17="","",TODAY()-F17)</f>
        <v/>
      </c>
      <c r="H17" s="25">
        <f>IF(OR(E17="Stage X",E17="Stage 6",E17="",F17=""),"—",IF(AND(G17&gt;14,OR(E17="Stage 1",E17="Stage 2",E17="Stage 3",E17="Stage 4")),"🔴 AGED",IF(AND(G17&gt;7,OR(E17="Stage 2",E17="Stage 3",E17="Stage 4")),"🟡 WATCH","—")))</f>
        <v/>
      </c>
      <c r="I17" s="21" t="n"/>
      <c r="J17" s="20" t="n"/>
    </row>
    <row r="18" ht="18" customHeight="1">
      <c r="A18" s="17" t="inlineStr">
        <is>
          <t>BRD-004</t>
        </is>
      </c>
      <c r="B18" s="18" t="inlineStr">
        <is>
          <t>PepsiCo Egypt</t>
        </is>
      </c>
      <c r="C18" s="19" t="inlineStr">
        <is>
          <t>Beverage</t>
        </is>
      </c>
      <c r="D18" s="19" t="inlineStr">
        <is>
          <t>Tier 1</t>
        </is>
      </c>
      <c r="E18" s="36" t="inlineStr">
        <is>
          <t>Stage 0</t>
        </is>
      </c>
      <c r="F18" s="21" t="n"/>
      <c r="G18" s="24">
        <f>IF(F18="","",TODAY()-F18)</f>
        <v/>
      </c>
      <c r="H18" s="25">
        <f>IF(OR(E18="Stage X",E18="Stage 6",E18="",F18=""),"—",IF(AND(G18&gt;14,OR(E18="Stage 1",E18="Stage 2",E18="Stage 3",E18="Stage 4")),"🔴 AGED",IF(AND(G18&gt;7,OR(E18="Stage 2",E18="Stage 3",E18="Stage 4")),"🟡 WATCH","—")))</f>
        <v/>
      </c>
      <c r="I18" s="21" t="n"/>
      <c r="J18" s="20" t="n"/>
    </row>
    <row r="19" ht="18" customHeight="1">
      <c r="A19" s="17" t="inlineStr">
        <is>
          <t>BRD-005</t>
        </is>
      </c>
      <c r="B19" s="18" t="inlineStr">
        <is>
          <t>Coca-Cola Egypt</t>
        </is>
      </c>
      <c r="C19" s="19" t="inlineStr">
        <is>
          <t>Beverage</t>
        </is>
      </c>
      <c r="D19" s="19" t="inlineStr">
        <is>
          <t>Tier 1</t>
        </is>
      </c>
      <c r="E19" s="36" t="inlineStr">
        <is>
          <t>Stage 0</t>
        </is>
      </c>
      <c r="F19" s="21" t="n"/>
      <c r="G19" s="24">
        <f>IF(F19="","",TODAY()-F19)</f>
        <v/>
      </c>
      <c r="H19" s="25">
        <f>IF(OR(E19="Stage X",E19="Stage 6",E19="",F19=""),"—",IF(AND(G19&gt;14,OR(E19="Stage 1",E19="Stage 2",E19="Stage 3",E19="Stage 4")),"🔴 AGED",IF(AND(G19&gt;7,OR(E19="Stage 2",E19="Stage 3",E19="Stage 4")),"🟡 WATCH","—")))</f>
        <v/>
      </c>
      <c r="I19" s="21" t="n"/>
      <c r="J19" s="20" t="n"/>
    </row>
    <row r="20" ht="18" customHeight="1">
      <c r="A20" s="17" t="inlineStr">
        <is>
          <t>BRD-006</t>
        </is>
      </c>
      <c r="B20" s="18" t="inlineStr">
        <is>
          <t>Johnson &amp; Johnson Egypt</t>
        </is>
      </c>
      <c r="C20" s="19" t="inlineStr">
        <is>
          <t>Pharma-OTC</t>
        </is>
      </c>
      <c r="D20" s="19" t="inlineStr">
        <is>
          <t>Tier 1</t>
        </is>
      </c>
      <c r="E20" s="36" t="inlineStr">
        <is>
          <t>Stage 0</t>
        </is>
      </c>
      <c r="F20" s="21" t="n"/>
      <c r="G20" s="24">
        <f>IF(F20="","",TODAY()-F20)</f>
        <v/>
      </c>
      <c r="H20" s="25">
        <f>IF(OR(E20="Stage X",E20="Stage 6",E20="",F20=""),"—",IF(AND(G20&gt;14,OR(E20="Stage 1",E20="Stage 2",E20="Stage 3",E20="Stage 4")),"🔴 AGED",IF(AND(G20&gt;7,OR(E20="Stage 2",E20="Stage 3",E20="Stage 4")),"🟡 WATCH","—")))</f>
        <v/>
      </c>
      <c r="I20" s="21" t="n"/>
      <c r="J20" s="20" t="n"/>
    </row>
    <row r="21" ht="18" customHeight="1">
      <c r="A21" s="17" t="inlineStr">
        <is>
          <t>BRD-007</t>
        </is>
      </c>
      <c r="B21" s="18" t="inlineStr">
        <is>
          <t>L'Oréal Egypt</t>
        </is>
      </c>
      <c r="C21" s="19" t="inlineStr">
        <is>
          <t>Beauty</t>
        </is>
      </c>
      <c r="D21" s="19" t="inlineStr">
        <is>
          <t>Tier 1</t>
        </is>
      </c>
      <c r="E21" s="36" t="inlineStr">
        <is>
          <t>Stage 0</t>
        </is>
      </c>
      <c r="F21" s="21" t="n"/>
      <c r="G21" s="24">
        <f>IF(F21="","",TODAY()-F21)</f>
        <v/>
      </c>
      <c r="H21" s="25">
        <f>IF(OR(E21="Stage X",E21="Stage 6",E21="",F21=""),"—",IF(AND(G21&gt;14,OR(E21="Stage 1",E21="Stage 2",E21="Stage 3",E21="Stage 4")),"🔴 AGED",IF(AND(G21&gt;7,OR(E21="Stage 2",E21="Stage 3",E21="Stage 4")),"🟡 WATCH","—")))</f>
        <v/>
      </c>
      <c r="I21" s="21" t="n"/>
      <c r="J21" s="20" t="n"/>
    </row>
    <row r="22" ht="18" customHeight="1">
      <c r="A22" s="17" t="inlineStr">
        <is>
          <t>BRD-008</t>
        </is>
      </c>
      <c r="B22" s="18" t="inlineStr">
        <is>
          <t>Dabur Egypt</t>
        </is>
      </c>
      <c r="C22" s="19" t="inlineStr">
        <is>
          <t>Food</t>
        </is>
      </c>
      <c r="D22" s="19" t="inlineStr">
        <is>
          <t>Tier 2</t>
        </is>
      </c>
      <c r="E22" s="36" t="inlineStr">
        <is>
          <t>Stage 0</t>
        </is>
      </c>
      <c r="F22" s="21" t="n"/>
      <c r="G22" s="24">
        <f>IF(F22="","",TODAY()-F22)</f>
        <v/>
      </c>
      <c r="H22" s="25">
        <f>IF(OR(E22="Stage X",E22="Stage 6",E22="",F22=""),"—",IF(AND(G22&gt;14,OR(E22="Stage 1",E22="Stage 2",E22="Stage 3",E22="Stage 4")),"🔴 AGED",IF(AND(G22&gt;7,OR(E22="Stage 2",E22="Stage 3",E22="Stage 4")),"🟡 WATCH","—")))</f>
        <v/>
      </c>
      <c r="I22" s="21" t="n"/>
      <c r="J22" s="20" t="n"/>
    </row>
    <row r="23" ht="18" customHeight="1">
      <c r="A23" s="17" t="inlineStr">
        <is>
          <t>BRD-009</t>
        </is>
      </c>
      <c r="B23" s="18" t="inlineStr">
        <is>
          <t>Hana Group</t>
        </is>
      </c>
      <c r="C23" s="19" t="inlineStr">
        <is>
          <t>Beauty</t>
        </is>
      </c>
      <c r="D23" s="19" t="inlineStr">
        <is>
          <t>Tier 2</t>
        </is>
      </c>
      <c r="E23" s="36" t="inlineStr">
        <is>
          <t>Stage 0</t>
        </is>
      </c>
      <c r="F23" s="21" t="n"/>
      <c r="G23" s="24">
        <f>IF(F23="","",TODAY()-F23)</f>
        <v/>
      </c>
      <c r="H23" s="25">
        <f>IF(OR(E23="Stage X",E23="Stage 6",E23="",F23=""),"—",IF(AND(G23&gt;14,OR(E23="Stage 1",E23="Stage 2",E23="Stage 3",E23="Stage 4")),"🔴 AGED",IF(AND(G23&gt;7,OR(E23="Stage 2",E23="Stage 3",E23="Stage 4")),"🟡 WATCH","—")))</f>
        <v/>
      </c>
      <c r="I23" s="21" t="n"/>
      <c r="J23" s="20" t="n"/>
    </row>
    <row r="24" ht="18" customHeight="1">
      <c r="A24" s="17" t="inlineStr">
        <is>
          <t>BRD-010</t>
        </is>
      </c>
      <c r="B24" s="18" t="inlineStr">
        <is>
          <t>OLA (Chipsy) Egypt</t>
        </is>
      </c>
      <c r="C24" s="19" t="inlineStr">
        <is>
          <t>Snacks</t>
        </is>
      </c>
      <c r="D24" s="19" t="inlineStr">
        <is>
          <t>Tier 2</t>
        </is>
      </c>
      <c r="E24" s="36" t="inlineStr">
        <is>
          <t>Stage 0</t>
        </is>
      </c>
      <c r="F24" s="21" t="n"/>
      <c r="G24" s="24">
        <f>IF(F24="","",TODAY()-F24)</f>
        <v/>
      </c>
      <c r="H24" s="25">
        <f>IF(OR(E24="Stage X",E24="Stage 6",E24="",F24=""),"—",IF(AND(G24&gt;14,OR(E24="Stage 1",E24="Stage 2",E24="Stage 3",E24="Stage 4")),"🔴 AGED",IF(AND(G24&gt;7,OR(E24="Stage 2",E24="Stage 3",E24="Stage 4")),"🟡 WATCH","—")))</f>
        <v/>
      </c>
      <c r="I24" s="21" t="n"/>
      <c r="J24" s="20" t="n"/>
    </row>
    <row r="25" ht="18" customHeight="1">
      <c r="A25" s="17" t="inlineStr">
        <is>
          <t>BRD-011</t>
        </is>
      </c>
      <c r="B25" s="18" t="inlineStr">
        <is>
          <t>El-Rashidi El-Mizan</t>
        </is>
      </c>
      <c r="C25" s="19" t="inlineStr">
        <is>
          <t>FMCG</t>
        </is>
      </c>
      <c r="D25" s="19" t="inlineStr">
        <is>
          <t>Tier 2</t>
        </is>
      </c>
      <c r="E25" s="36" t="inlineStr">
        <is>
          <t>Stage 0</t>
        </is>
      </c>
      <c r="F25" s="21" t="n"/>
      <c r="G25" s="24">
        <f>IF(F25="","",TODAY()-F25)</f>
        <v/>
      </c>
      <c r="H25" s="25">
        <f>IF(OR(E25="Stage X",E25="Stage 6",E25="",F25=""),"—",IF(AND(G25&gt;14,OR(E25="Stage 1",E25="Stage 2",E25="Stage 3",E25="Stage 4")),"🔴 AGED",IF(AND(G25&gt;7,OR(E25="Stage 2",E25="Stage 3",E25="Stage 4")),"🟡 WATCH","—")))</f>
        <v/>
      </c>
      <c r="I25" s="21" t="n"/>
      <c r="J25" s="20" t="n"/>
    </row>
    <row r="26" ht="18" customHeight="1">
      <c r="A26" s="17" t="inlineStr">
        <is>
          <t>BRD-012</t>
        </is>
      </c>
      <c r="B26" s="18" t="inlineStr">
        <is>
          <t>Fine Egypt</t>
        </is>
      </c>
      <c r="C26" s="19" t="inlineStr">
        <is>
          <t>Home Care</t>
        </is>
      </c>
      <c r="D26" s="19" t="inlineStr">
        <is>
          <t>Tier 2</t>
        </is>
      </c>
      <c r="E26" s="36" t="inlineStr">
        <is>
          <t>Stage 0</t>
        </is>
      </c>
      <c r="F26" s="21" t="n"/>
      <c r="G26" s="24">
        <f>IF(F26="","",TODAY()-F26)</f>
        <v/>
      </c>
      <c r="H26" s="25">
        <f>IF(OR(E26="Stage X",E26="Stage 6",E26="",F26=""),"—",IF(AND(G26&gt;14,OR(E26="Stage 1",E26="Stage 2",E26="Stage 3",E26="Stage 4")),"🔴 AGED",IF(AND(G26&gt;7,OR(E26="Stage 2",E26="Stage 3",E26="Stage 4")),"🟡 WATCH","—")))</f>
        <v/>
      </c>
      <c r="I26" s="21" t="n"/>
      <c r="J26" s="20" t="n"/>
    </row>
    <row r="27" ht="18" customHeight="1">
      <c r="A27" s="17" t="inlineStr">
        <is>
          <t>BRD-013</t>
        </is>
      </c>
      <c r="B27" s="18" t="inlineStr">
        <is>
          <t>Juhayna</t>
        </is>
      </c>
      <c r="C27" s="19" t="inlineStr">
        <is>
          <t>Dairy</t>
        </is>
      </c>
      <c r="D27" s="19" t="inlineStr">
        <is>
          <t>Tier 2</t>
        </is>
      </c>
      <c r="E27" s="36" t="inlineStr">
        <is>
          <t>Stage 0</t>
        </is>
      </c>
      <c r="F27" s="21" t="n"/>
      <c r="G27" s="24">
        <f>IF(F27="","",TODAY()-F27)</f>
        <v/>
      </c>
      <c r="H27" s="25">
        <f>IF(OR(E27="Stage X",E27="Stage 6",E27="",F27=""),"—",IF(AND(G27&gt;14,OR(E27="Stage 1",E27="Stage 2",E27="Stage 3",E27="Stage 4")),"🔴 AGED",IF(AND(G27&gt;7,OR(E27="Stage 2",E27="Stage 3",E27="Stage 4")),"🟡 WATCH","—")))</f>
        <v/>
      </c>
      <c r="I27" s="21" t="n"/>
      <c r="J27" s="20" t="n"/>
    </row>
    <row r="28" ht="18" customHeight="1">
      <c r="A28" s="17" t="inlineStr">
        <is>
          <t>BRD-014</t>
        </is>
      </c>
      <c r="B28" s="18" t="inlineStr">
        <is>
          <t>Lactel Egypt</t>
        </is>
      </c>
      <c r="C28" s="19" t="inlineStr">
        <is>
          <t>Dairy</t>
        </is>
      </c>
      <c r="D28" s="19" t="inlineStr">
        <is>
          <t>Tier 3</t>
        </is>
      </c>
      <c r="E28" s="36" t="inlineStr">
        <is>
          <t>Stage 0</t>
        </is>
      </c>
      <c r="F28" s="21" t="n"/>
      <c r="G28" s="24">
        <f>IF(F28="","",TODAY()-F28)</f>
        <v/>
      </c>
      <c r="H28" s="25">
        <f>IF(OR(E28="Stage X",E28="Stage 6",E28="",F28=""),"—",IF(AND(G28&gt;14,OR(E28="Stage 1",E28="Stage 2",E28="Stage 3",E28="Stage 4")),"🔴 AGED",IF(AND(G28&gt;7,OR(E28="Stage 2",E28="Stage 3",E28="Stage 4")),"🟡 WATCH","—")))</f>
        <v/>
      </c>
      <c r="I28" s="21" t="n"/>
      <c r="J28" s="20" t="n"/>
    </row>
    <row r="29" ht="18" customHeight="1">
      <c r="A29" s="20" t="n"/>
      <c r="B29" s="20" t="n"/>
      <c r="C29" s="20" t="n"/>
      <c r="D29" s="20" t="n"/>
      <c r="E29" s="20" t="n"/>
      <c r="F29" s="21" t="n"/>
      <c r="G29" s="24">
        <f>IF(F29="","",TODAY()-F29)</f>
        <v/>
      </c>
      <c r="H29" s="25">
        <f>IF(OR(E29="Stage X",E29="Stage 6",E29="",F29=""),"—",IF(AND(G29&gt;14,OR(E29="Stage 1",E29="Stage 2",E29="Stage 3",E29="Stage 4")),"🔴 AGED",IF(AND(G29&gt;7,OR(E29="Stage 2",E29="Stage 3",E29="Stage 4")),"🟡 WATCH","—")))</f>
        <v/>
      </c>
      <c r="I29" s="21" t="n"/>
      <c r="J29" s="20" t="n"/>
    </row>
    <row r="30" ht="18" customHeight="1">
      <c r="A30" s="20" t="n"/>
      <c r="B30" s="20" t="n"/>
      <c r="C30" s="20" t="n"/>
      <c r="D30" s="20" t="n"/>
      <c r="E30" s="20" t="n"/>
      <c r="F30" s="21" t="n"/>
      <c r="G30" s="24">
        <f>IF(F30="","",TODAY()-F30)</f>
        <v/>
      </c>
      <c r="H30" s="25">
        <f>IF(OR(E30="Stage X",E30="Stage 6",E30="",F30=""),"—",IF(AND(G30&gt;14,OR(E30="Stage 1",E30="Stage 2",E30="Stage 3",E30="Stage 4")),"🔴 AGED",IF(AND(G30&gt;7,OR(E30="Stage 2",E30="Stage 3",E30="Stage 4")),"🟡 WATCH","—")))</f>
        <v/>
      </c>
      <c r="I30" s="21" t="n"/>
      <c r="J30" s="20" t="n"/>
    </row>
    <row r="31" ht="18" customHeight="1">
      <c r="A31" s="20" t="n"/>
      <c r="B31" s="20" t="n"/>
      <c r="C31" s="20" t="n"/>
      <c r="D31" s="20" t="n"/>
      <c r="E31" s="20" t="n"/>
      <c r="F31" s="21" t="n"/>
      <c r="G31" s="24">
        <f>IF(F31="","",TODAY()-F31)</f>
        <v/>
      </c>
      <c r="H31" s="25">
        <f>IF(OR(E31="Stage X",E31="Stage 6",E31="",F31=""),"—",IF(AND(G31&gt;14,OR(E31="Stage 1",E31="Stage 2",E31="Stage 3",E31="Stage 4")),"🔴 AGED",IF(AND(G31&gt;7,OR(E31="Stage 2",E31="Stage 3",E31="Stage 4")),"🟡 WATCH","—")))</f>
        <v/>
      </c>
      <c r="I31" s="21" t="n"/>
      <c r="J31" s="20" t="n"/>
    </row>
    <row r="32" ht="18" customHeight="1">
      <c r="A32" s="20" t="n"/>
      <c r="B32" s="20" t="n"/>
      <c r="C32" s="20" t="n"/>
      <c r="D32" s="20" t="n"/>
      <c r="E32" s="20" t="n"/>
      <c r="F32" s="21" t="n"/>
      <c r="G32" s="24">
        <f>IF(F32="","",TODAY()-F32)</f>
        <v/>
      </c>
      <c r="H32" s="25">
        <f>IF(OR(E32="Stage X",E32="Stage 6",E32="",F32=""),"—",IF(AND(G32&gt;14,OR(E32="Stage 1",E32="Stage 2",E32="Stage 3",E32="Stage 4")),"🔴 AGED",IF(AND(G32&gt;7,OR(E32="Stage 2",E32="Stage 3",E32="Stage 4")),"🟡 WATCH","—")))</f>
        <v/>
      </c>
      <c r="I32" s="21" t="n"/>
      <c r="J32" s="20" t="n"/>
    </row>
    <row r="33" ht="18" customHeight="1">
      <c r="A33" s="20" t="n"/>
      <c r="B33" s="20" t="n"/>
      <c r="C33" s="20" t="n"/>
      <c r="D33" s="20" t="n"/>
      <c r="E33" s="20" t="n"/>
      <c r="F33" s="21" t="n"/>
      <c r="G33" s="24">
        <f>IF(F33="","",TODAY()-F33)</f>
        <v/>
      </c>
      <c r="H33" s="25">
        <f>IF(OR(E33="Stage X",E33="Stage 6",E33="",F33=""),"—",IF(AND(G33&gt;14,OR(E33="Stage 1",E33="Stage 2",E33="Stage 3",E33="Stage 4")),"🔴 AGED",IF(AND(G33&gt;7,OR(E33="Stage 2",E33="Stage 3",E33="Stage 4")),"🟡 WATCH","—")))</f>
        <v/>
      </c>
      <c r="I33" s="21" t="n"/>
      <c r="J33" s="20" t="n"/>
    </row>
    <row r="34" ht="18" customHeight="1">
      <c r="A34" s="20" t="n"/>
      <c r="B34" s="20" t="n"/>
      <c r="C34" s="20" t="n"/>
      <c r="D34" s="20" t="n"/>
      <c r="E34" s="20" t="n"/>
      <c r="F34" s="21" t="n"/>
      <c r="G34" s="24">
        <f>IF(F34="","",TODAY()-F34)</f>
        <v/>
      </c>
      <c r="H34" s="25">
        <f>IF(OR(E34="Stage X",E34="Stage 6",E34="",F34=""),"—",IF(AND(G34&gt;14,OR(E34="Stage 1",E34="Stage 2",E34="Stage 3",E34="Stage 4")),"🔴 AGED",IF(AND(G34&gt;7,OR(E34="Stage 2",E34="Stage 3",E34="Stage 4")),"🟡 WATCH","—")))</f>
        <v/>
      </c>
      <c r="I34" s="21" t="n"/>
      <c r="J34" s="20" t="n"/>
    </row>
    <row r="35" ht="18" customHeight="1">
      <c r="A35" s="20" t="n"/>
      <c r="B35" s="20" t="n"/>
      <c r="C35" s="20" t="n"/>
      <c r="D35" s="20" t="n"/>
      <c r="E35" s="20" t="n"/>
      <c r="F35" s="21" t="n"/>
      <c r="G35" s="24">
        <f>IF(F35="","",TODAY()-F35)</f>
        <v/>
      </c>
      <c r="H35" s="25">
        <f>IF(OR(E35="Stage X",E35="Stage 6",E35="",F35=""),"—",IF(AND(G35&gt;14,OR(E35="Stage 1",E35="Stage 2",E35="Stage 3",E35="Stage 4")),"🔴 AGED",IF(AND(G35&gt;7,OR(E35="Stage 2",E35="Stage 3",E35="Stage 4")),"🟡 WATCH","—")))</f>
        <v/>
      </c>
      <c r="I35" s="21" t="n"/>
      <c r="J35" s="20" t="n"/>
    </row>
    <row r="36" ht="18" customHeight="1">
      <c r="A36" s="20" t="n"/>
      <c r="B36" s="20" t="n"/>
      <c r="C36" s="20" t="n"/>
      <c r="D36" s="20" t="n"/>
      <c r="E36" s="20" t="n"/>
      <c r="F36" s="21" t="n"/>
      <c r="G36" s="24">
        <f>IF(F36="","",TODAY()-F36)</f>
        <v/>
      </c>
      <c r="H36" s="25">
        <f>IF(OR(E36="Stage X",E36="Stage 6",E36="",F36=""),"—",IF(AND(G36&gt;14,OR(E36="Stage 1",E36="Stage 2",E36="Stage 3",E36="Stage 4")),"🔴 AGED",IF(AND(G36&gt;7,OR(E36="Stage 2",E36="Stage 3",E36="Stage 4")),"🟡 WATCH","—")))</f>
        <v/>
      </c>
      <c r="I36" s="21" t="n"/>
      <c r="J36" s="20" t="n"/>
    </row>
    <row r="37" ht="18" customHeight="1">
      <c r="A37" s="20" t="n"/>
      <c r="B37" s="20" t="n"/>
      <c r="C37" s="20" t="n"/>
      <c r="D37" s="20" t="n"/>
      <c r="E37" s="20" t="n"/>
      <c r="F37" s="21" t="n"/>
      <c r="G37" s="24">
        <f>IF(F37="","",TODAY()-F37)</f>
        <v/>
      </c>
      <c r="H37" s="25">
        <f>IF(OR(E37="Stage X",E37="Stage 6",E37="",F37=""),"—",IF(AND(G37&gt;14,OR(E37="Stage 1",E37="Stage 2",E37="Stage 3",E37="Stage 4")),"🔴 AGED",IF(AND(G37&gt;7,OR(E37="Stage 2",E37="Stage 3",E37="Stage 4")),"🟡 WATCH","—")))</f>
        <v/>
      </c>
      <c r="I37" s="21" t="n"/>
      <c r="J37" s="20" t="n"/>
    </row>
    <row r="38" ht="18" customHeight="1">
      <c r="A38" s="20" t="n"/>
      <c r="B38" s="20" t="n"/>
      <c r="C38" s="20" t="n"/>
      <c r="D38" s="20" t="n"/>
      <c r="E38" s="20" t="n"/>
      <c r="F38" s="21" t="n"/>
      <c r="G38" s="24">
        <f>IF(F38="","",TODAY()-F38)</f>
        <v/>
      </c>
      <c r="H38" s="25">
        <f>IF(OR(E38="Stage X",E38="Stage 6",E38="",F38=""),"—",IF(AND(G38&gt;14,OR(E38="Stage 1",E38="Stage 2",E38="Stage 3",E38="Stage 4")),"🔴 AGED",IF(AND(G38&gt;7,OR(E38="Stage 2",E38="Stage 3",E38="Stage 4")),"🟡 WATCH","—")))</f>
        <v/>
      </c>
      <c r="I38" s="21" t="n"/>
      <c r="J38" s="20" t="n"/>
    </row>
    <row r="39" ht="18" customHeight="1">
      <c r="A39" s="20" t="n"/>
      <c r="B39" s="20" t="n"/>
      <c r="C39" s="20" t="n"/>
      <c r="D39" s="20" t="n"/>
      <c r="E39" s="20" t="n"/>
      <c r="F39" s="21" t="n"/>
      <c r="G39" s="24">
        <f>IF(F39="","",TODAY()-F39)</f>
        <v/>
      </c>
      <c r="H39" s="25">
        <f>IF(OR(E39="Stage X",E39="Stage 6",E39="",F39=""),"—",IF(AND(G39&gt;14,OR(E39="Stage 1",E39="Stage 2",E39="Stage 3",E39="Stage 4")),"🔴 AGED",IF(AND(G39&gt;7,OR(E39="Stage 2",E39="Stage 3",E39="Stage 4")),"🟡 WATCH","—")))</f>
        <v/>
      </c>
      <c r="I39" s="21" t="n"/>
      <c r="J39" s="20" t="n"/>
    </row>
    <row r="40" ht="18" customHeight="1">
      <c r="A40" s="20" t="n"/>
      <c r="B40" s="20" t="n"/>
      <c r="C40" s="20" t="n"/>
      <c r="D40" s="20" t="n"/>
      <c r="E40" s="20" t="n"/>
      <c r="F40" s="21" t="n"/>
      <c r="G40" s="24">
        <f>IF(F40="","",TODAY()-F40)</f>
        <v/>
      </c>
      <c r="H40" s="25">
        <f>IF(OR(E40="Stage X",E40="Stage 6",E40="",F40=""),"—",IF(AND(G40&gt;14,OR(E40="Stage 1",E40="Stage 2",E40="Stage 3",E40="Stage 4")),"🔴 AGED",IF(AND(G40&gt;7,OR(E40="Stage 2",E40="Stage 3",E40="Stage 4")),"🟡 WATCH","—")))</f>
        <v/>
      </c>
      <c r="I40" s="21" t="n"/>
      <c r="J40" s="20" t="n"/>
    </row>
    <row r="41" ht="18" customHeight="1">
      <c r="A41" s="20" t="n"/>
      <c r="B41" s="20" t="n"/>
      <c r="C41" s="20" t="n"/>
      <c r="D41" s="20" t="n"/>
      <c r="E41" s="20" t="n"/>
      <c r="F41" s="21" t="n"/>
      <c r="G41" s="24">
        <f>IF(F41="","",TODAY()-F41)</f>
        <v/>
      </c>
      <c r="H41" s="25">
        <f>IF(OR(E41="Stage X",E41="Stage 6",E41="",F41=""),"—",IF(AND(G41&gt;14,OR(E41="Stage 1",E41="Stage 2",E41="Stage 3",E41="Stage 4")),"🔴 AGED",IF(AND(G41&gt;7,OR(E41="Stage 2",E41="Stage 3",E41="Stage 4")),"🟡 WATCH","—")))</f>
        <v/>
      </c>
      <c r="I41" s="21" t="n"/>
      <c r="J41" s="20" t="n"/>
    </row>
    <row r="42" ht="18" customHeight="1">
      <c r="A42" s="20" t="n"/>
      <c r="B42" s="20" t="n"/>
      <c r="C42" s="20" t="n"/>
      <c r="D42" s="20" t="n"/>
      <c r="E42" s="20" t="n"/>
      <c r="F42" s="21" t="n"/>
      <c r="G42" s="24">
        <f>IF(F42="","",TODAY()-F42)</f>
        <v/>
      </c>
      <c r="H42" s="25">
        <f>IF(OR(E42="Stage X",E42="Stage 6",E42="",F42=""),"—",IF(AND(G42&gt;14,OR(E42="Stage 1",E42="Stage 2",E42="Stage 3",E42="Stage 4")),"🔴 AGED",IF(AND(G42&gt;7,OR(E42="Stage 2",E42="Stage 3",E42="Stage 4")),"🟡 WATCH","—")))</f>
        <v/>
      </c>
      <c r="I42" s="21" t="n"/>
      <c r="J42" s="20" t="n"/>
    </row>
    <row r="43" ht="18" customHeight="1">
      <c r="A43" s="20" t="n"/>
      <c r="B43" s="20" t="n"/>
      <c r="C43" s="20" t="n"/>
      <c r="D43" s="20" t="n"/>
      <c r="E43" s="20" t="n"/>
      <c r="F43" s="21" t="n"/>
      <c r="G43" s="24">
        <f>IF(F43="","",TODAY()-F43)</f>
        <v/>
      </c>
      <c r="H43" s="25">
        <f>IF(OR(E43="Stage X",E43="Stage 6",E43="",F43=""),"—",IF(AND(G43&gt;14,OR(E43="Stage 1",E43="Stage 2",E43="Stage 3",E43="Stage 4")),"🔴 AGED",IF(AND(G43&gt;7,OR(E43="Stage 2",E43="Stage 3",E43="Stage 4")),"🟡 WATCH","—")))</f>
        <v/>
      </c>
      <c r="I43" s="21" t="n"/>
      <c r="J43" s="20" t="n"/>
    </row>
    <row r="44" ht="18" customHeight="1">
      <c r="A44" s="20" t="n"/>
      <c r="B44" s="20" t="n"/>
      <c r="C44" s="20" t="n"/>
      <c r="D44" s="20" t="n"/>
      <c r="E44" s="20" t="n"/>
      <c r="F44" s="21" t="n"/>
      <c r="G44" s="24">
        <f>IF(F44="","",TODAY()-F44)</f>
        <v/>
      </c>
      <c r="H44" s="25">
        <f>IF(OR(E44="Stage X",E44="Stage 6",E44="",F44=""),"—",IF(AND(G44&gt;14,OR(E44="Stage 1",E44="Stage 2",E44="Stage 3",E44="Stage 4")),"🔴 AGED",IF(AND(G44&gt;7,OR(E44="Stage 2",E44="Stage 3",E44="Stage 4")),"🟡 WATCH","—")))</f>
        <v/>
      </c>
      <c r="I44" s="21" t="n"/>
      <c r="J44" s="20" t="n"/>
    </row>
    <row r="45" ht="18" customHeight="1">
      <c r="A45" s="20" t="n"/>
      <c r="B45" s="20" t="n"/>
      <c r="C45" s="20" t="n"/>
      <c r="D45" s="20" t="n"/>
      <c r="E45" s="20" t="n"/>
      <c r="F45" s="21" t="n"/>
      <c r="G45" s="24">
        <f>IF(F45="","",TODAY()-F45)</f>
        <v/>
      </c>
      <c r="H45" s="25">
        <f>IF(OR(E45="Stage X",E45="Stage 6",E45="",F45=""),"—",IF(AND(G45&gt;14,OR(E45="Stage 1",E45="Stage 2",E45="Stage 3",E45="Stage 4")),"🔴 AGED",IF(AND(G45&gt;7,OR(E45="Stage 2",E45="Stage 3",E45="Stage 4")),"🟡 WATCH","—")))</f>
        <v/>
      </c>
      <c r="I45" s="21" t="n"/>
      <c r="J45" s="20" t="n"/>
    </row>
    <row r="46" ht="18" customHeight="1">
      <c r="A46" s="20" t="n"/>
      <c r="B46" s="20" t="n"/>
      <c r="C46" s="20" t="n"/>
      <c r="D46" s="20" t="n"/>
      <c r="E46" s="20" t="n"/>
      <c r="F46" s="21" t="n"/>
      <c r="G46" s="24">
        <f>IF(F46="","",TODAY()-F46)</f>
        <v/>
      </c>
      <c r="H46" s="25">
        <f>IF(OR(E46="Stage X",E46="Stage 6",E46="",F46=""),"—",IF(AND(G46&gt;14,OR(E46="Stage 1",E46="Stage 2",E46="Stage 3",E46="Stage 4")),"🔴 AGED",IF(AND(G46&gt;7,OR(E46="Stage 2",E46="Stage 3",E46="Stage 4")),"🟡 WATCH","—")))</f>
        <v/>
      </c>
      <c r="I46" s="21" t="n"/>
      <c r="J46" s="20" t="n"/>
    </row>
    <row r="47" ht="18" customHeight="1">
      <c r="A47" s="20" t="n"/>
      <c r="B47" s="20" t="n"/>
      <c r="C47" s="20" t="n"/>
      <c r="D47" s="20" t="n"/>
      <c r="E47" s="20" t="n"/>
      <c r="F47" s="21" t="n"/>
      <c r="G47" s="24">
        <f>IF(F47="","",TODAY()-F47)</f>
        <v/>
      </c>
      <c r="H47" s="25">
        <f>IF(OR(E47="Stage X",E47="Stage 6",E47="",F47=""),"—",IF(AND(G47&gt;14,OR(E47="Stage 1",E47="Stage 2",E47="Stage 3",E47="Stage 4")),"🔴 AGED",IF(AND(G47&gt;7,OR(E47="Stage 2",E47="Stage 3",E47="Stage 4")),"🟡 WATCH","—")))</f>
        <v/>
      </c>
      <c r="I47" s="21" t="n"/>
      <c r="J47" s="20" t="n"/>
    </row>
    <row r="48" ht="18" customHeight="1">
      <c r="A48" s="20" t="n"/>
      <c r="B48" s="20" t="n"/>
      <c r="C48" s="20" t="n"/>
      <c r="D48" s="20" t="n"/>
      <c r="E48" s="20" t="n"/>
      <c r="F48" s="21" t="n"/>
      <c r="G48" s="24">
        <f>IF(F48="","",TODAY()-F48)</f>
        <v/>
      </c>
      <c r="H48" s="25">
        <f>IF(OR(E48="Stage X",E48="Stage 6",E48="",F48=""),"—",IF(AND(G48&gt;14,OR(E48="Stage 1",E48="Stage 2",E48="Stage 3",E48="Stage 4")),"🔴 AGED",IF(AND(G48&gt;7,OR(E48="Stage 2",E48="Stage 3",E48="Stage 4")),"🟡 WATCH","—")))</f>
        <v/>
      </c>
      <c r="I48" s="21" t="n"/>
      <c r="J48" s="20" t="n"/>
    </row>
    <row r="49" ht="18" customHeight="1">
      <c r="A49" s="20" t="n"/>
      <c r="B49" s="20" t="n"/>
      <c r="C49" s="20" t="n"/>
      <c r="D49" s="20" t="n"/>
      <c r="E49" s="20" t="n"/>
      <c r="F49" s="21" t="n"/>
      <c r="G49" s="24">
        <f>IF(F49="","",TODAY()-F49)</f>
        <v/>
      </c>
      <c r="H49" s="25">
        <f>IF(OR(E49="Stage X",E49="Stage 6",E49="",F49=""),"—",IF(AND(G49&gt;14,OR(E49="Stage 1",E49="Stage 2",E49="Stage 3",E49="Stage 4")),"🔴 AGED",IF(AND(G49&gt;7,OR(E49="Stage 2",E49="Stage 3",E49="Stage 4")),"🟡 WATCH","—")))</f>
        <v/>
      </c>
      <c r="I49" s="21" t="n"/>
      <c r="J49" s="20" t="n"/>
    </row>
    <row r="50" ht="18" customHeight="1">
      <c r="A50" s="20" t="n"/>
      <c r="B50" s="20" t="n"/>
      <c r="C50" s="20" t="n"/>
      <c r="D50" s="20" t="n"/>
      <c r="E50" s="20" t="n"/>
      <c r="F50" s="21" t="n"/>
      <c r="G50" s="24">
        <f>IF(F50="","",TODAY()-F50)</f>
        <v/>
      </c>
      <c r="H50" s="25">
        <f>IF(OR(E50="Stage X",E50="Stage 6",E50="",F50=""),"—",IF(AND(G50&gt;14,OR(E50="Stage 1",E50="Stage 2",E50="Stage 3",E50="Stage 4")),"🔴 AGED",IF(AND(G50&gt;7,OR(E50="Stage 2",E50="Stage 3",E50="Stage 4")),"🟡 WATCH","—")))</f>
        <v/>
      </c>
      <c r="I50" s="21" t="n"/>
      <c r="J50" s="20" t="n"/>
    </row>
    <row r="51" ht="18" customHeight="1">
      <c r="A51" s="20" t="n"/>
      <c r="B51" s="20" t="n"/>
      <c r="C51" s="20" t="n"/>
      <c r="D51" s="20" t="n"/>
      <c r="E51" s="20" t="n"/>
      <c r="F51" s="21" t="n"/>
      <c r="G51" s="24">
        <f>IF(F51="","",TODAY()-F51)</f>
        <v/>
      </c>
      <c r="H51" s="25">
        <f>IF(OR(E51="Stage X",E51="Stage 6",E51="",F51=""),"—",IF(AND(G51&gt;14,OR(E51="Stage 1",E51="Stage 2",E51="Stage 3",E51="Stage 4")),"🔴 AGED",IF(AND(G51&gt;7,OR(E51="Stage 2",E51="Stage 3",E51="Stage 4")),"🟡 WATCH","—")))</f>
        <v/>
      </c>
      <c r="I51" s="21" t="n"/>
      <c r="J51" s="20" t="n"/>
    </row>
    <row r="52" ht="18" customHeight="1">
      <c r="A52" s="20" t="n"/>
      <c r="B52" s="20" t="n"/>
      <c r="C52" s="20" t="n"/>
      <c r="D52" s="20" t="n"/>
      <c r="E52" s="20" t="n"/>
      <c r="F52" s="21" t="n"/>
      <c r="G52" s="24">
        <f>IF(F52="","",TODAY()-F52)</f>
        <v/>
      </c>
      <c r="H52" s="25">
        <f>IF(OR(E52="Stage X",E52="Stage 6",E52="",F52=""),"—",IF(AND(G52&gt;14,OR(E52="Stage 1",E52="Stage 2",E52="Stage 3",E52="Stage 4")),"🔴 AGED",IF(AND(G52&gt;7,OR(E52="Stage 2",E52="Stage 3",E52="Stage 4")),"🟡 WATCH","—")))</f>
        <v/>
      </c>
      <c r="I52" s="21" t="n"/>
      <c r="J52" s="20" t="n"/>
    </row>
    <row r="53" ht="18" customHeight="1">
      <c r="A53" s="20" t="n"/>
      <c r="B53" s="20" t="n"/>
      <c r="C53" s="20" t="n"/>
      <c r="D53" s="20" t="n"/>
      <c r="E53" s="20" t="n"/>
      <c r="F53" s="21" t="n"/>
      <c r="G53" s="24">
        <f>IF(F53="","",TODAY()-F53)</f>
        <v/>
      </c>
      <c r="H53" s="25">
        <f>IF(OR(E53="Stage X",E53="Stage 6",E53="",F53=""),"—",IF(AND(G53&gt;14,OR(E53="Stage 1",E53="Stage 2",E53="Stage 3",E53="Stage 4")),"🔴 AGED",IF(AND(G53&gt;7,OR(E53="Stage 2",E53="Stage 3",E53="Stage 4")),"🟡 WATCH","—")))</f>
        <v/>
      </c>
      <c r="I53" s="21" t="n"/>
      <c r="J53" s="20" t="n"/>
    </row>
    <row r="54" ht="18" customHeight="1">
      <c r="A54" s="20" t="n"/>
      <c r="B54" s="20" t="n"/>
      <c r="C54" s="20" t="n"/>
      <c r="D54" s="20" t="n"/>
      <c r="E54" s="20" t="n"/>
      <c r="F54" s="21" t="n"/>
      <c r="G54" s="24">
        <f>IF(F54="","",TODAY()-F54)</f>
        <v/>
      </c>
      <c r="H54" s="25">
        <f>IF(OR(E54="Stage X",E54="Stage 6",E54="",F54=""),"—",IF(AND(G54&gt;14,OR(E54="Stage 1",E54="Stage 2",E54="Stage 3",E54="Stage 4")),"🔴 AGED",IF(AND(G54&gt;7,OR(E54="Stage 2",E54="Stage 3",E54="Stage 4")),"🟡 WATCH","—")))</f>
        <v/>
      </c>
      <c r="I54" s="21" t="n"/>
      <c r="J54" s="20" t="n"/>
    </row>
    <row r="55" ht="18" customHeight="1">
      <c r="A55" s="20" t="n"/>
      <c r="B55" s="20" t="n"/>
      <c r="C55" s="20" t="n"/>
      <c r="D55" s="20" t="n"/>
      <c r="E55" s="20" t="n"/>
      <c r="F55" s="21" t="n"/>
      <c r="G55" s="24">
        <f>IF(F55="","",TODAY()-F55)</f>
        <v/>
      </c>
      <c r="H55" s="25">
        <f>IF(OR(E55="Stage X",E55="Stage 6",E55="",F55=""),"—",IF(AND(G55&gt;14,OR(E55="Stage 1",E55="Stage 2",E55="Stage 3",E55="Stage 4")),"🔴 AGED",IF(AND(G55&gt;7,OR(E55="Stage 2",E55="Stage 3",E55="Stage 4")),"🟡 WATCH","—")))</f>
        <v/>
      </c>
      <c r="I55" s="21" t="n"/>
      <c r="J55" s="20" t="n"/>
    </row>
    <row r="56" ht="18" customHeight="1">
      <c r="A56" s="20" t="n"/>
      <c r="B56" s="20" t="n"/>
      <c r="C56" s="20" t="n"/>
      <c r="D56" s="20" t="n"/>
      <c r="E56" s="20" t="n"/>
      <c r="F56" s="21" t="n"/>
      <c r="G56" s="24">
        <f>IF(F56="","",TODAY()-F56)</f>
        <v/>
      </c>
      <c r="H56" s="25">
        <f>IF(OR(E56="Stage X",E56="Stage 6",E56="",F56=""),"—",IF(AND(G56&gt;14,OR(E56="Stage 1",E56="Stage 2",E56="Stage 3",E56="Stage 4")),"🔴 AGED",IF(AND(G56&gt;7,OR(E56="Stage 2",E56="Stage 3",E56="Stage 4")),"🟡 WATCH","—")))</f>
        <v/>
      </c>
      <c r="I56" s="21" t="n"/>
      <c r="J56" s="20" t="n"/>
    </row>
    <row r="57" ht="18" customHeight="1">
      <c r="A57" s="20" t="n"/>
      <c r="B57" s="20" t="n"/>
      <c r="C57" s="20" t="n"/>
      <c r="D57" s="20" t="n"/>
      <c r="E57" s="20" t="n"/>
      <c r="F57" s="21" t="n"/>
      <c r="G57" s="24">
        <f>IF(F57="","",TODAY()-F57)</f>
        <v/>
      </c>
      <c r="H57" s="25">
        <f>IF(OR(E57="Stage X",E57="Stage 6",E57="",F57=""),"—",IF(AND(G57&gt;14,OR(E57="Stage 1",E57="Stage 2",E57="Stage 3",E57="Stage 4")),"🔴 AGED",IF(AND(G57&gt;7,OR(E57="Stage 2",E57="Stage 3",E57="Stage 4")),"🟡 WATCH","—")))</f>
        <v/>
      </c>
      <c r="I57" s="21" t="n"/>
      <c r="J57" s="20" t="n"/>
    </row>
    <row r="58" ht="18" customHeight="1">
      <c r="A58" s="20" t="n"/>
      <c r="B58" s="20" t="n"/>
      <c r="C58" s="20" t="n"/>
      <c r="D58" s="20" t="n"/>
      <c r="E58" s="20" t="n"/>
      <c r="F58" s="21" t="n"/>
      <c r="G58" s="24">
        <f>IF(F58="","",TODAY()-F58)</f>
        <v/>
      </c>
      <c r="H58" s="25">
        <f>IF(OR(E58="Stage X",E58="Stage 6",E58="",F58=""),"—",IF(AND(G58&gt;14,OR(E58="Stage 1",E58="Stage 2",E58="Stage 3",E58="Stage 4")),"🔴 AGED",IF(AND(G58&gt;7,OR(E58="Stage 2",E58="Stage 3",E58="Stage 4")),"🟡 WATCH","—")))</f>
        <v/>
      </c>
      <c r="I58" s="21" t="n"/>
      <c r="J58" s="20" t="n"/>
    </row>
    <row r="59" ht="18" customHeight="1">
      <c r="A59" s="20" t="n"/>
      <c r="B59" s="20" t="n"/>
      <c r="C59" s="20" t="n"/>
      <c r="D59" s="20" t="n"/>
      <c r="E59" s="20" t="n"/>
      <c r="F59" s="21" t="n"/>
      <c r="G59" s="24">
        <f>IF(F59="","",TODAY()-F59)</f>
        <v/>
      </c>
      <c r="H59" s="25">
        <f>IF(OR(E59="Stage X",E59="Stage 6",E59="",F59=""),"—",IF(AND(G59&gt;14,OR(E59="Stage 1",E59="Stage 2",E59="Stage 3",E59="Stage 4")),"🔴 AGED",IF(AND(G59&gt;7,OR(E59="Stage 2",E59="Stage 3",E59="Stage 4")),"🟡 WATCH","—")))</f>
        <v/>
      </c>
      <c r="I59" s="21" t="n"/>
      <c r="J59" s="20" t="n"/>
    </row>
    <row r="60" ht="18" customHeight="1">
      <c r="A60" s="20" t="n"/>
      <c r="B60" s="20" t="n"/>
      <c r="C60" s="20" t="n"/>
      <c r="D60" s="20" t="n"/>
      <c r="E60" s="20" t="n"/>
      <c r="F60" s="21" t="n"/>
      <c r="G60" s="24">
        <f>IF(F60="","",TODAY()-F60)</f>
        <v/>
      </c>
      <c r="H60" s="25">
        <f>IF(OR(E60="Stage X",E60="Stage 6",E60="",F60=""),"—",IF(AND(G60&gt;14,OR(E60="Stage 1",E60="Stage 2",E60="Stage 3",E60="Stage 4")),"🔴 AGED",IF(AND(G60&gt;7,OR(E60="Stage 2",E60="Stage 3",E60="Stage 4")),"🟡 WATCH","—")))</f>
        <v/>
      </c>
      <c r="I60" s="21" t="n"/>
      <c r="J60" s="20" t="n"/>
    </row>
    <row r="61" ht="18" customHeight="1">
      <c r="A61" s="20" t="n"/>
      <c r="B61" s="20" t="n"/>
      <c r="C61" s="20" t="n"/>
      <c r="D61" s="20" t="n"/>
      <c r="E61" s="20" t="n"/>
      <c r="F61" s="21" t="n"/>
      <c r="G61" s="24">
        <f>IF(F61="","",TODAY()-F61)</f>
        <v/>
      </c>
      <c r="H61" s="25">
        <f>IF(OR(E61="Stage X",E61="Stage 6",E61="",F61=""),"—",IF(AND(G61&gt;14,OR(E61="Stage 1",E61="Stage 2",E61="Stage 3",E61="Stage 4")),"🔴 AGED",IF(AND(G61&gt;7,OR(E61="Stage 2",E61="Stage 3",E61="Stage 4")),"🟡 WATCH","—")))</f>
        <v/>
      </c>
      <c r="I61" s="21" t="n"/>
      <c r="J61" s="20" t="n"/>
    </row>
    <row r="62" ht="18" customHeight="1">
      <c r="A62" s="20" t="n"/>
      <c r="B62" s="20" t="n"/>
      <c r="C62" s="20" t="n"/>
      <c r="D62" s="20" t="n"/>
      <c r="E62" s="20" t="n"/>
      <c r="F62" s="21" t="n"/>
      <c r="G62" s="24">
        <f>IF(F62="","",TODAY()-F62)</f>
        <v/>
      </c>
      <c r="H62" s="25">
        <f>IF(OR(E62="Stage X",E62="Stage 6",E62="",F62=""),"—",IF(AND(G62&gt;14,OR(E62="Stage 1",E62="Stage 2",E62="Stage 3",E62="Stage 4")),"🔴 AGED",IF(AND(G62&gt;7,OR(E62="Stage 2",E62="Stage 3",E62="Stage 4")),"🟡 WATCH","—")))</f>
        <v/>
      </c>
      <c r="I62" s="21" t="n"/>
      <c r="J62" s="20" t="n"/>
    </row>
    <row r="63" ht="18" customHeight="1">
      <c r="A63" s="20" t="n"/>
      <c r="B63" s="20" t="n"/>
      <c r="C63" s="20" t="n"/>
      <c r="D63" s="20" t="n"/>
      <c r="E63" s="20" t="n"/>
      <c r="F63" s="21" t="n"/>
      <c r="G63" s="24">
        <f>IF(F63="","",TODAY()-F63)</f>
        <v/>
      </c>
      <c r="H63" s="25">
        <f>IF(OR(E63="Stage X",E63="Stage 6",E63="",F63=""),"—",IF(AND(G63&gt;14,OR(E63="Stage 1",E63="Stage 2",E63="Stage 3",E63="Stage 4")),"🔴 AGED",IF(AND(G63&gt;7,OR(E63="Stage 2",E63="Stage 3",E63="Stage 4")),"🟡 WATCH","—")))</f>
        <v/>
      </c>
      <c r="I63" s="21" t="n"/>
      <c r="J63" s="20" t="n"/>
    </row>
    <row r="64" ht="18" customHeight="1">
      <c r="A64" s="20" t="n"/>
      <c r="B64" s="20" t="n"/>
      <c r="C64" s="20" t="n"/>
      <c r="D64" s="20" t="n"/>
      <c r="E64" s="20" t="n"/>
      <c r="F64" s="21" t="n"/>
      <c r="G64" s="24">
        <f>IF(F64="","",TODAY()-F64)</f>
        <v/>
      </c>
      <c r="H64" s="25">
        <f>IF(OR(E64="Stage X",E64="Stage 6",E64="",F64=""),"—",IF(AND(G64&gt;14,OR(E64="Stage 1",E64="Stage 2",E64="Stage 3",E64="Stage 4")),"🔴 AGED",IF(AND(G64&gt;7,OR(E64="Stage 2",E64="Stage 3",E64="Stage 4")),"🟡 WATCH","—")))</f>
        <v/>
      </c>
      <c r="I64" s="21" t="n"/>
      <c r="J64" s="20" t="n"/>
    </row>
    <row r="65" ht="18" customHeight="1">
      <c r="A65" s="20" t="n"/>
      <c r="B65" s="20" t="n"/>
      <c r="C65" s="20" t="n"/>
      <c r="D65" s="20" t="n"/>
      <c r="E65" s="20" t="n"/>
      <c r="F65" s="21" t="n"/>
      <c r="G65" s="24">
        <f>IF(F65="","",TODAY()-F65)</f>
        <v/>
      </c>
      <c r="H65" s="25">
        <f>IF(OR(E65="Stage X",E65="Stage 6",E65="",F65=""),"—",IF(AND(G65&gt;14,OR(E65="Stage 1",E65="Stage 2",E65="Stage 3",E65="Stage 4")),"🔴 AGED",IF(AND(G65&gt;7,OR(E65="Stage 2",E65="Stage 3",E65="Stage 4")),"🟡 WATCH","—")))</f>
        <v/>
      </c>
      <c r="I65" s="21" t="n"/>
      <c r="J65" s="20" t="n"/>
    </row>
    <row r="66" ht="18" customHeight="1">
      <c r="A66" s="20" t="n"/>
      <c r="B66" s="20" t="n"/>
      <c r="C66" s="20" t="n"/>
      <c r="D66" s="20" t="n"/>
      <c r="E66" s="20" t="n"/>
      <c r="F66" s="21" t="n"/>
      <c r="G66" s="24">
        <f>IF(F66="","",TODAY()-F66)</f>
        <v/>
      </c>
      <c r="H66" s="25">
        <f>IF(OR(E66="Stage X",E66="Stage 6",E66="",F66=""),"—",IF(AND(G66&gt;14,OR(E66="Stage 1",E66="Stage 2",E66="Stage 3",E66="Stage 4")),"🔴 AGED",IF(AND(G66&gt;7,OR(E66="Stage 2",E66="Stage 3",E66="Stage 4")),"🟡 WATCH","—")))</f>
        <v/>
      </c>
      <c r="I66" s="21" t="n"/>
      <c r="J66" s="20" t="n"/>
    </row>
    <row r="67" ht="18" customHeight="1">
      <c r="A67" s="20" t="n"/>
      <c r="B67" s="20" t="n"/>
      <c r="C67" s="20" t="n"/>
      <c r="D67" s="20" t="n"/>
      <c r="E67" s="20" t="n"/>
      <c r="F67" s="21" t="n"/>
      <c r="G67" s="24">
        <f>IF(F67="","",TODAY()-F67)</f>
        <v/>
      </c>
      <c r="H67" s="25">
        <f>IF(OR(E67="Stage X",E67="Stage 6",E67="",F67=""),"—",IF(AND(G67&gt;14,OR(E67="Stage 1",E67="Stage 2",E67="Stage 3",E67="Stage 4")),"🔴 AGED",IF(AND(G67&gt;7,OR(E67="Stage 2",E67="Stage 3",E67="Stage 4")),"🟡 WATCH","—")))</f>
        <v/>
      </c>
      <c r="I67" s="21" t="n"/>
      <c r="J67" s="20" t="n"/>
    </row>
    <row r="68" ht="18" customHeight="1">
      <c r="A68" s="20" t="n"/>
      <c r="B68" s="20" t="n"/>
      <c r="C68" s="20" t="n"/>
      <c r="D68" s="20" t="n"/>
      <c r="E68" s="20" t="n"/>
      <c r="F68" s="21" t="n"/>
      <c r="G68" s="24">
        <f>IF(F68="","",TODAY()-F68)</f>
        <v/>
      </c>
      <c r="H68" s="25">
        <f>IF(OR(E68="Stage X",E68="Stage 6",E68="",F68=""),"—",IF(AND(G68&gt;14,OR(E68="Stage 1",E68="Stage 2",E68="Stage 3",E68="Stage 4")),"🔴 AGED",IF(AND(G68&gt;7,OR(E68="Stage 2",E68="Stage 3",E68="Stage 4")),"🟡 WATCH","—")))</f>
        <v/>
      </c>
      <c r="I68" s="21" t="n"/>
      <c r="J68" s="20" t="n"/>
    </row>
    <row r="69" ht="18" customHeight="1">
      <c r="A69" s="20" t="n"/>
      <c r="B69" s="20" t="n"/>
      <c r="C69" s="20" t="n"/>
      <c r="D69" s="20" t="n"/>
      <c r="E69" s="20" t="n"/>
      <c r="F69" s="21" t="n"/>
      <c r="G69" s="24">
        <f>IF(F69="","",TODAY()-F69)</f>
        <v/>
      </c>
      <c r="H69" s="25">
        <f>IF(OR(E69="Stage X",E69="Stage 6",E69="",F69=""),"—",IF(AND(G69&gt;14,OR(E69="Stage 1",E69="Stage 2",E69="Stage 3",E69="Stage 4")),"🔴 AGED",IF(AND(G69&gt;7,OR(E69="Stage 2",E69="Stage 3",E69="Stage 4")),"🟡 WATCH","—")))</f>
        <v/>
      </c>
      <c r="I69" s="21" t="n"/>
      <c r="J69" s="20" t="n"/>
    </row>
    <row r="70" ht="18" customHeight="1">
      <c r="A70" s="20" t="n"/>
      <c r="B70" s="20" t="n"/>
      <c r="C70" s="20" t="n"/>
      <c r="D70" s="20" t="n"/>
      <c r="E70" s="20" t="n"/>
      <c r="F70" s="21" t="n"/>
      <c r="G70" s="24">
        <f>IF(F70="","",TODAY()-F70)</f>
        <v/>
      </c>
      <c r="H70" s="25">
        <f>IF(OR(E70="Stage X",E70="Stage 6",E70="",F70=""),"—",IF(AND(G70&gt;14,OR(E70="Stage 1",E70="Stage 2",E70="Stage 3",E70="Stage 4")),"🔴 AGED",IF(AND(G70&gt;7,OR(E70="Stage 2",E70="Stage 3",E70="Stage 4")),"🟡 WATCH","—")))</f>
        <v/>
      </c>
      <c r="I70" s="21" t="n"/>
      <c r="J70" s="20" t="n"/>
    </row>
    <row r="71" ht="18" customHeight="1">
      <c r="A71" s="20" t="n"/>
      <c r="B71" s="20" t="n"/>
      <c r="C71" s="20" t="n"/>
      <c r="D71" s="20" t="n"/>
      <c r="E71" s="20" t="n"/>
      <c r="F71" s="21" t="n"/>
      <c r="G71" s="24">
        <f>IF(F71="","",TODAY()-F71)</f>
        <v/>
      </c>
      <c r="H71" s="25">
        <f>IF(OR(E71="Stage X",E71="Stage 6",E71="",F71=""),"—",IF(AND(G71&gt;14,OR(E71="Stage 1",E71="Stage 2",E71="Stage 3",E71="Stage 4")),"🔴 AGED",IF(AND(G71&gt;7,OR(E71="Stage 2",E71="Stage 3",E71="Stage 4")),"🟡 WATCH","—")))</f>
        <v/>
      </c>
      <c r="I71" s="21" t="n"/>
      <c r="J71" s="20" t="n"/>
    </row>
    <row r="72" ht="18" customHeight="1">
      <c r="A72" s="20" t="n"/>
      <c r="B72" s="20" t="n"/>
      <c r="C72" s="20" t="n"/>
      <c r="D72" s="20" t="n"/>
      <c r="E72" s="20" t="n"/>
      <c r="F72" s="21" t="n"/>
      <c r="G72" s="24">
        <f>IF(F72="","",TODAY()-F72)</f>
        <v/>
      </c>
      <c r="H72" s="25">
        <f>IF(OR(E72="Stage X",E72="Stage 6",E72="",F72=""),"—",IF(AND(G72&gt;14,OR(E72="Stage 1",E72="Stage 2",E72="Stage 3",E72="Stage 4")),"🔴 AGED",IF(AND(G72&gt;7,OR(E72="Stage 2",E72="Stage 3",E72="Stage 4")),"🟡 WATCH","—")))</f>
        <v/>
      </c>
      <c r="I72" s="21" t="n"/>
      <c r="J72" s="20" t="n"/>
    </row>
    <row r="73" ht="18" customHeight="1">
      <c r="A73" s="20" t="n"/>
      <c r="B73" s="20" t="n"/>
      <c r="C73" s="20" t="n"/>
      <c r="D73" s="20" t="n"/>
      <c r="E73" s="20" t="n"/>
      <c r="F73" s="21" t="n"/>
      <c r="G73" s="24">
        <f>IF(F73="","",TODAY()-F73)</f>
        <v/>
      </c>
      <c r="H73" s="25">
        <f>IF(OR(E73="Stage X",E73="Stage 6",E73="",F73=""),"—",IF(AND(G73&gt;14,OR(E73="Stage 1",E73="Stage 2",E73="Stage 3",E73="Stage 4")),"🔴 AGED",IF(AND(G73&gt;7,OR(E73="Stage 2",E73="Stage 3",E73="Stage 4")),"🟡 WATCH","—")))</f>
        <v/>
      </c>
      <c r="I73" s="21" t="n"/>
      <c r="J73" s="20" t="n"/>
    </row>
    <row r="74" ht="18" customHeight="1">
      <c r="A74" s="20" t="n"/>
      <c r="B74" s="20" t="n"/>
      <c r="C74" s="20" t="n"/>
      <c r="D74" s="20" t="n"/>
      <c r="E74" s="20" t="n"/>
      <c r="F74" s="21" t="n"/>
      <c r="G74" s="24">
        <f>IF(F74="","",TODAY()-F74)</f>
        <v/>
      </c>
      <c r="H74" s="25">
        <f>IF(OR(E74="Stage X",E74="Stage 6",E74="",F74=""),"—",IF(AND(G74&gt;14,OR(E74="Stage 1",E74="Stage 2",E74="Stage 3",E74="Stage 4")),"🔴 AGED",IF(AND(G74&gt;7,OR(E74="Stage 2",E74="Stage 3",E74="Stage 4")),"🟡 WATCH","—")))</f>
        <v/>
      </c>
      <c r="I74" s="21" t="n"/>
      <c r="J74" s="20" t="n"/>
    </row>
    <row r="75" ht="18" customHeight="1">
      <c r="A75" s="20" t="n"/>
      <c r="B75" s="20" t="n"/>
      <c r="C75" s="20" t="n"/>
      <c r="D75" s="20" t="n"/>
      <c r="E75" s="20" t="n"/>
      <c r="F75" s="21" t="n"/>
      <c r="G75" s="24">
        <f>IF(F75="","",TODAY()-F75)</f>
        <v/>
      </c>
      <c r="H75" s="25">
        <f>IF(OR(E75="Stage X",E75="Stage 6",E75="",F75=""),"—",IF(AND(G75&gt;14,OR(E75="Stage 1",E75="Stage 2",E75="Stage 3",E75="Stage 4")),"🔴 AGED",IF(AND(G75&gt;7,OR(E75="Stage 2",E75="Stage 3",E75="Stage 4")),"🟡 WATCH","—")))</f>
        <v/>
      </c>
      <c r="I75" s="21" t="n"/>
      <c r="J75" s="20" t="n"/>
    </row>
    <row r="76" ht="18" customHeight="1">
      <c r="A76" s="20" t="n"/>
      <c r="B76" s="20" t="n"/>
      <c r="C76" s="20" t="n"/>
      <c r="D76" s="20" t="n"/>
      <c r="E76" s="20" t="n"/>
      <c r="F76" s="21" t="n"/>
      <c r="G76" s="24">
        <f>IF(F76="","",TODAY()-F76)</f>
        <v/>
      </c>
      <c r="H76" s="25">
        <f>IF(OR(E76="Stage X",E76="Stage 6",E76="",F76=""),"—",IF(AND(G76&gt;14,OR(E76="Stage 1",E76="Stage 2",E76="Stage 3",E76="Stage 4")),"🔴 AGED",IF(AND(G76&gt;7,OR(E76="Stage 2",E76="Stage 3",E76="Stage 4")),"🟡 WATCH","—")))</f>
        <v/>
      </c>
      <c r="I76" s="21" t="n"/>
      <c r="J76" s="20" t="n"/>
    </row>
    <row r="77" ht="18" customHeight="1">
      <c r="A77" s="20" t="n"/>
      <c r="B77" s="20" t="n"/>
      <c r="C77" s="20" t="n"/>
      <c r="D77" s="20" t="n"/>
      <c r="E77" s="20" t="n"/>
      <c r="F77" s="21" t="n"/>
      <c r="G77" s="24">
        <f>IF(F77="","",TODAY()-F77)</f>
        <v/>
      </c>
      <c r="H77" s="25">
        <f>IF(OR(E77="Stage X",E77="Stage 6",E77="",F77=""),"—",IF(AND(G77&gt;14,OR(E77="Stage 1",E77="Stage 2",E77="Stage 3",E77="Stage 4")),"🔴 AGED",IF(AND(G77&gt;7,OR(E77="Stage 2",E77="Stage 3",E77="Stage 4")),"🟡 WATCH","—")))</f>
        <v/>
      </c>
      <c r="I77" s="21" t="n"/>
      <c r="J77" s="20" t="n"/>
    </row>
    <row r="78" ht="18" customHeight="1">
      <c r="A78" s="20" t="n"/>
      <c r="B78" s="20" t="n"/>
      <c r="C78" s="20" t="n"/>
      <c r="D78" s="20" t="n"/>
      <c r="E78" s="20" t="n"/>
      <c r="F78" s="21" t="n"/>
      <c r="G78" s="24">
        <f>IF(F78="","",TODAY()-F78)</f>
        <v/>
      </c>
      <c r="H78" s="25">
        <f>IF(OR(E78="Stage X",E78="Stage 6",E78="",F78=""),"—",IF(AND(G78&gt;14,OR(E78="Stage 1",E78="Stage 2",E78="Stage 3",E78="Stage 4")),"🔴 AGED",IF(AND(G78&gt;7,OR(E78="Stage 2",E78="Stage 3",E78="Stage 4")),"🟡 WATCH","—")))</f>
        <v/>
      </c>
      <c r="I78" s="21" t="n"/>
      <c r="J78" s="20" t="n"/>
    </row>
    <row r="79" ht="18" customHeight="1">
      <c r="A79" s="20" t="n"/>
      <c r="B79" s="20" t="n"/>
      <c r="C79" s="20" t="n"/>
      <c r="D79" s="20" t="n"/>
      <c r="E79" s="20" t="n"/>
      <c r="F79" s="21" t="n"/>
      <c r="G79" s="24">
        <f>IF(F79="","",TODAY()-F79)</f>
        <v/>
      </c>
      <c r="H79" s="25">
        <f>IF(OR(E79="Stage X",E79="Stage 6",E79="",F79=""),"—",IF(AND(G79&gt;14,OR(E79="Stage 1",E79="Stage 2",E79="Stage 3",E79="Stage 4")),"🔴 AGED",IF(AND(G79&gt;7,OR(E79="Stage 2",E79="Stage 3",E79="Stage 4")),"🟡 WATCH","—")))</f>
        <v/>
      </c>
      <c r="I79" s="21" t="n"/>
      <c r="J79" s="20" t="n"/>
    </row>
    <row r="80" ht="18" customHeight="1">
      <c r="A80" s="20" t="n"/>
      <c r="B80" s="20" t="n"/>
      <c r="C80" s="20" t="n"/>
      <c r="D80" s="20" t="n"/>
      <c r="E80" s="20" t="n"/>
      <c r="F80" s="21" t="n"/>
      <c r="G80" s="24">
        <f>IF(F80="","",TODAY()-F80)</f>
        <v/>
      </c>
      <c r="H80" s="25">
        <f>IF(OR(E80="Stage X",E80="Stage 6",E80="",F80=""),"—",IF(AND(G80&gt;14,OR(E80="Stage 1",E80="Stage 2",E80="Stage 3",E80="Stage 4")),"🔴 AGED",IF(AND(G80&gt;7,OR(E80="Stage 2",E80="Stage 3",E80="Stage 4")),"🟡 WATCH","—")))</f>
        <v/>
      </c>
      <c r="I80" s="21" t="n"/>
      <c r="J80" s="20" t="n"/>
    </row>
    <row r="81" ht="18" customHeight="1">
      <c r="A81" s="20" t="n"/>
      <c r="B81" s="20" t="n"/>
      <c r="C81" s="20" t="n"/>
      <c r="D81" s="20" t="n"/>
      <c r="E81" s="20" t="n"/>
      <c r="F81" s="21" t="n"/>
      <c r="G81" s="24">
        <f>IF(F81="","",TODAY()-F81)</f>
        <v/>
      </c>
      <c r="H81" s="25">
        <f>IF(OR(E81="Stage X",E81="Stage 6",E81="",F81=""),"—",IF(AND(G81&gt;14,OR(E81="Stage 1",E81="Stage 2",E81="Stage 3",E81="Stage 4")),"🔴 AGED",IF(AND(G81&gt;7,OR(E81="Stage 2",E81="Stage 3",E81="Stage 4")),"🟡 WATCH","—")))</f>
        <v/>
      </c>
      <c r="I81" s="21" t="n"/>
      <c r="J81" s="20" t="n"/>
    </row>
    <row r="82" ht="18" customHeight="1">
      <c r="A82" s="20" t="n"/>
      <c r="B82" s="20" t="n"/>
      <c r="C82" s="20" t="n"/>
      <c r="D82" s="20" t="n"/>
      <c r="E82" s="20" t="n"/>
      <c r="F82" s="21" t="n"/>
      <c r="G82" s="24">
        <f>IF(F82="","",TODAY()-F82)</f>
        <v/>
      </c>
      <c r="H82" s="25">
        <f>IF(OR(E82="Stage X",E82="Stage 6",E82="",F82=""),"—",IF(AND(G82&gt;14,OR(E82="Stage 1",E82="Stage 2",E82="Stage 3",E82="Stage 4")),"🔴 AGED",IF(AND(G82&gt;7,OR(E82="Stage 2",E82="Stage 3",E82="Stage 4")),"🟡 WATCH","—")))</f>
        <v/>
      </c>
      <c r="I82" s="21" t="n"/>
      <c r="J82" s="20" t="n"/>
    </row>
    <row r="83" ht="18" customHeight="1">
      <c r="A83" s="20" t="n"/>
      <c r="B83" s="20" t="n"/>
      <c r="C83" s="20" t="n"/>
      <c r="D83" s="20" t="n"/>
      <c r="E83" s="20" t="n"/>
      <c r="F83" s="21" t="n"/>
      <c r="G83" s="24">
        <f>IF(F83="","",TODAY()-F83)</f>
        <v/>
      </c>
      <c r="H83" s="25">
        <f>IF(OR(E83="Stage X",E83="Stage 6",E83="",F83=""),"—",IF(AND(G83&gt;14,OR(E83="Stage 1",E83="Stage 2",E83="Stage 3",E83="Stage 4")),"🔴 AGED",IF(AND(G83&gt;7,OR(E83="Stage 2",E83="Stage 3",E83="Stage 4")),"🟡 WATCH","—")))</f>
        <v/>
      </c>
      <c r="I83" s="21" t="n"/>
      <c r="J83" s="20" t="n"/>
    </row>
    <row r="84" ht="18" customHeight="1">
      <c r="A84" s="20" t="n"/>
      <c r="B84" s="20" t="n"/>
      <c r="C84" s="20" t="n"/>
      <c r="D84" s="20" t="n"/>
      <c r="E84" s="20" t="n"/>
      <c r="F84" s="21" t="n"/>
      <c r="G84" s="24">
        <f>IF(F84="","",TODAY()-F84)</f>
        <v/>
      </c>
      <c r="H84" s="25">
        <f>IF(OR(E84="Stage X",E84="Stage 6",E84="",F84=""),"—",IF(AND(G84&gt;14,OR(E84="Stage 1",E84="Stage 2",E84="Stage 3",E84="Stage 4")),"🔴 AGED",IF(AND(G84&gt;7,OR(E84="Stage 2",E84="Stage 3",E84="Stage 4")),"🟡 WATCH","—")))</f>
        <v/>
      </c>
      <c r="I84" s="21" t="n"/>
      <c r="J84" s="20" t="n"/>
    </row>
    <row r="85" ht="18" customHeight="1">
      <c r="A85" s="20" t="n"/>
      <c r="B85" s="20" t="n"/>
      <c r="C85" s="20" t="n"/>
      <c r="D85" s="20" t="n"/>
      <c r="E85" s="20" t="n"/>
      <c r="F85" s="21" t="n"/>
      <c r="G85" s="24">
        <f>IF(F85="","",TODAY()-F85)</f>
        <v/>
      </c>
      <c r="H85" s="25">
        <f>IF(OR(E85="Stage X",E85="Stage 6",E85="",F85=""),"—",IF(AND(G85&gt;14,OR(E85="Stage 1",E85="Stage 2",E85="Stage 3",E85="Stage 4")),"🔴 AGED",IF(AND(G85&gt;7,OR(E85="Stage 2",E85="Stage 3",E85="Stage 4")),"🟡 WATCH","—")))</f>
        <v/>
      </c>
      <c r="I85" s="21" t="n"/>
      <c r="J85" s="20" t="n"/>
    </row>
    <row r="86" ht="18" customHeight="1">
      <c r="A86" s="20" t="n"/>
      <c r="B86" s="20" t="n"/>
      <c r="C86" s="20" t="n"/>
      <c r="D86" s="20" t="n"/>
      <c r="E86" s="20" t="n"/>
      <c r="F86" s="21" t="n"/>
      <c r="G86" s="24">
        <f>IF(F86="","",TODAY()-F86)</f>
        <v/>
      </c>
      <c r="H86" s="25">
        <f>IF(OR(E86="Stage X",E86="Stage 6",E86="",F86=""),"—",IF(AND(G86&gt;14,OR(E86="Stage 1",E86="Stage 2",E86="Stage 3",E86="Stage 4")),"🔴 AGED",IF(AND(G86&gt;7,OR(E86="Stage 2",E86="Stage 3",E86="Stage 4")),"🟡 WATCH","—")))</f>
        <v/>
      </c>
      <c r="I86" s="21" t="n"/>
      <c r="J86" s="20" t="n"/>
    </row>
    <row r="87" ht="18" customHeight="1">
      <c r="A87" s="20" t="n"/>
      <c r="B87" s="20" t="n"/>
      <c r="C87" s="20" t="n"/>
      <c r="D87" s="20" t="n"/>
      <c r="E87" s="20" t="n"/>
      <c r="F87" s="21" t="n"/>
      <c r="G87" s="24">
        <f>IF(F87="","",TODAY()-F87)</f>
        <v/>
      </c>
      <c r="H87" s="25">
        <f>IF(OR(E87="Stage X",E87="Stage 6",E87="",F87=""),"—",IF(AND(G87&gt;14,OR(E87="Stage 1",E87="Stage 2",E87="Stage 3",E87="Stage 4")),"🔴 AGED",IF(AND(G87&gt;7,OR(E87="Stage 2",E87="Stage 3",E87="Stage 4")),"🟡 WATCH","—")))</f>
        <v/>
      </c>
      <c r="I87" s="21" t="n"/>
      <c r="J87" s="20" t="n"/>
    </row>
    <row r="88" ht="18" customHeight="1">
      <c r="A88" s="20" t="n"/>
      <c r="B88" s="20" t="n"/>
      <c r="C88" s="20" t="n"/>
      <c r="D88" s="20" t="n"/>
      <c r="E88" s="20" t="n"/>
      <c r="F88" s="21" t="n"/>
      <c r="G88" s="24">
        <f>IF(F88="","",TODAY()-F88)</f>
        <v/>
      </c>
      <c r="H88" s="25">
        <f>IF(OR(E88="Stage X",E88="Stage 6",E88="",F88=""),"—",IF(AND(G88&gt;14,OR(E88="Stage 1",E88="Stage 2",E88="Stage 3",E88="Stage 4")),"🔴 AGED",IF(AND(G88&gt;7,OR(E88="Stage 2",E88="Stage 3",E88="Stage 4")),"🟡 WATCH","—")))</f>
        <v/>
      </c>
      <c r="I88" s="21" t="n"/>
      <c r="J88" s="20" t="n"/>
    </row>
    <row r="89" ht="18" customHeight="1">
      <c r="A89" s="20" t="n"/>
      <c r="B89" s="20" t="n"/>
      <c r="C89" s="20" t="n"/>
      <c r="D89" s="20" t="n"/>
      <c r="E89" s="20" t="n"/>
      <c r="F89" s="21" t="n"/>
      <c r="G89" s="24">
        <f>IF(F89="","",TODAY()-F89)</f>
        <v/>
      </c>
      <c r="H89" s="25">
        <f>IF(OR(E89="Stage X",E89="Stage 6",E89="",F89=""),"—",IF(AND(G89&gt;14,OR(E89="Stage 1",E89="Stage 2",E89="Stage 3",E89="Stage 4")),"🔴 AGED",IF(AND(G89&gt;7,OR(E89="Stage 2",E89="Stage 3",E89="Stage 4")),"🟡 WATCH","—")))</f>
        <v/>
      </c>
      <c r="I89" s="21" t="n"/>
      <c r="J89" s="20" t="n"/>
    </row>
    <row r="90" ht="18" customHeight="1">
      <c r="A90" s="20" t="n"/>
      <c r="B90" s="20" t="n"/>
      <c r="C90" s="20" t="n"/>
      <c r="D90" s="20" t="n"/>
      <c r="E90" s="20" t="n"/>
      <c r="F90" s="21" t="n"/>
      <c r="G90" s="24">
        <f>IF(F90="","",TODAY()-F90)</f>
        <v/>
      </c>
      <c r="H90" s="25">
        <f>IF(OR(E90="Stage X",E90="Stage 6",E90="",F90=""),"—",IF(AND(G90&gt;14,OR(E90="Stage 1",E90="Stage 2",E90="Stage 3",E90="Stage 4")),"🔴 AGED",IF(AND(G90&gt;7,OR(E90="Stage 2",E90="Stage 3",E90="Stage 4")),"🟡 WATCH","—")))</f>
        <v/>
      </c>
      <c r="I90" s="21" t="n"/>
      <c r="J90" s="20" t="n"/>
    </row>
    <row r="91" ht="18" customHeight="1">
      <c r="A91" s="20" t="n"/>
      <c r="B91" s="20" t="n"/>
      <c r="C91" s="20" t="n"/>
      <c r="D91" s="20" t="n"/>
      <c r="E91" s="20" t="n"/>
      <c r="F91" s="21" t="n"/>
      <c r="G91" s="24">
        <f>IF(F91="","",TODAY()-F91)</f>
        <v/>
      </c>
      <c r="H91" s="25">
        <f>IF(OR(E91="Stage X",E91="Stage 6",E91="",F91=""),"—",IF(AND(G91&gt;14,OR(E91="Stage 1",E91="Stage 2",E91="Stage 3",E91="Stage 4")),"🔴 AGED",IF(AND(G91&gt;7,OR(E91="Stage 2",E91="Stage 3",E91="Stage 4")),"🟡 WATCH","—")))</f>
        <v/>
      </c>
      <c r="I91" s="21" t="n"/>
      <c r="J91" s="20" t="n"/>
    </row>
    <row r="92" ht="18" customHeight="1">
      <c r="A92" s="20" t="n"/>
      <c r="B92" s="20" t="n"/>
      <c r="C92" s="20" t="n"/>
      <c r="D92" s="20" t="n"/>
      <c r="E92" s="20" t="n"/>
      <c r="F92" s="21" t="n"/>
      <c r="G92" s="24">
        <f>IF(F92="","",TODAY()-F92)</f>
        <v/>
      </c>
      <c r="H92" s="25">
        <f>IF(OR(E92="Stage X",E92="Stage 6",E92="",F92=""),"—",IF(AND(G92&gt;14,OR(E92="Stage 1",E92="Stage 2",E92="Stage 3",E92="Stage 4")),"🔴 AGED",IF(AND(G92&gt;7,OR(E92="Stage 2",E92="Stage 3",E92="Stage 4")),"🟡 WATCH","—")))</f>
        <v/>
      </c>
      <c r="I92" s="21" t="n"/>
      <c r="J92" s="20" t="n"/>
    </row>
    <row r="93" ht="18" customHeight="1">
      <c r="A93" s="20" t="n"/>
      <c r="B93" s="20" t="n"/>
      <c r="C93" s="20" t="n"/>
      <c r="D93" s="20" t="n"/>
      <c r="E93" s="20" t="n"/>
      <c r="F93" s="21" t="n"/>
      <c r="G93" s="24">
        <f>IF(F93="","",TODAY()-F93)</f>
        <v/>
      </c>
      <c r="H93" s="25">
        <f>IF(OR(E93="Stage X",E93="Stage 6",E93="",F93=""),"—",IF(AND(G93&gt;14,OR(E93="Stage 1",E93="Stage 2",E93="Stage 3",E93="Stage 4")),"🔴 AGED",IF(AND(G93&gt;7,OR(E93="Stage 2",E93="Stage 3",E93="Stage 4")),"🟡 WATCH","—")))</f>
        <v/>
      </c>
      <c r="I93" s="21" t="n"/>
      <c r="J93" s="20" t="n"/>
    </row>
    <row r="94" ht="18" customHeight="1">
      <c r="A94" s="20" t="n"/>
      <c r="B94" s="20" t="n"/>
      <c r="C94" s="20" t="n"/>
      <c r="D94" s="20" t="n"/>
      <c r="E94" s="20" t="n"/>
      <c r="F94" s="21" t="n"/>
      <c r="G94" s="24">
        <f>IF(F94="","",TODAY()-F94)</f>
        <v/>
      </c>
      <c r="H94" s="25">
        <f>IF(OR(E94="Stage X",E94="Stage 6",E94="",F94=""),"—",IF(AND(G94&gt;14,OR(E94="Stage 1",E94="Stage 2",E94="Stage 3",E94="Stage 4")),"🔴 AGED",IF(AND(G94&gt;7,OR(E94="Stage 2",E94="Stage 3",E94="Stage 4")),"🟡 WATCH","—")))</f>
        <v/>
      </c>
      <c r="I94" s="21" t="n"/>
      <c r="J94" s="20" t="n"/>
    </row>
    <row r="95" ht="18" customHeight="1">
      <c r="A95" s="20" t="n"/>
      <c r="B95" s="20" t="n"/>
      <c r="C95" s="20" t="n"/>
      <c r="D95" s="20" t="n"/>
      <c r="E95" s="20" t="n"/>
      <c r="F95" s="21" t="n"/>
      <c r="G95" s="24">
        <f>IF(F95="","",TODAY()-F95)</f>
        <v/>
      </c>
      <c r="H95" s="25">
        <f>IF(OR(E95="Stage X",E95="Stage 6",E95="",F95=""),"—",IF(AND(G95&gt;14,OR(E95="Stage 1",E95="Stage 2",E95="Stage 3",E95="Stage 4")),"🔴 AGED",IF(AND(G95&gt;7,OR(E95="Stage 2",E95="Stage 3",E95="Stage 4")),"🟡 WATCH","—")))</f>
        <v/>
      </c>
      <c r="I95" s="21" t="n"/>
      <c r="J95" s="20" t="n"/>
    </row>
    <row r="96" ht="18" customHeight="1">
      <c r="A96" s="20" t="n"/>
      <c r="B96" s="20" t="n"/>
      <c r="C96" s="20" t="n"/>
      <c r="D96" s="20" t="n"/>
      <c r="E96" s="20" t="n"/>
      <c r="F96" s="21" t="n"/>
      <c r="G96" s="24">
        <f>IF(F96="","",TODAY()-F96)</f>
        <v/>
      </c>
      <c r="H96" s="25">
        <f>IF(OR(E96="Stage X",E96="Stage 6",E96="",F96=""),"—",IF(AND(G96&gt;14,OR(E96="Stage 1",E96="Stage 2",E96="Stage 3",E96="Stage 4")),"🔴 AGED",IF(AND(G96&gt;7,OR(E96="Stage 2",E96="Stage 3",E96="Stage 4")),"🟡 WATCH","—")))</f>
        <v/>
      </c>
      <c r="I96" s="21" t="n"/>
      <c r="J96" s="20" t="n"/>
    </row>
    <row r="97" ht="18" customHeight="1">
      <c r="A97" s="20" t="n"/>
      <c r="B97" s="20" t="n"/>
      <c r="C97" s="20" t="n"/>
      <c r="D97" s="20" t="n"/>
      <c r="E97" s="20" t="n"/>
      <c r="F97" s="21" t="n"/>
      <c r="G97" s="24">
        <f>IF(F97="","",TODAY()-F97)</f>
        <v/>
      </c>
      <c r="H97" s="25">
        <f>IF(OR(E97="Stage X",E97="Stage 6",E97="",F97=""),"—",IF(AND(G97&gt;14,OR(E97="Stage 1",E97="Stage 2",E97="Stage 3",E97="Stage 4")),"🔴 AGED",IF(AND(G97&gt;7,OR(E97="Stage 2",E97="Stage 3",E97="Stage 4")),"🟡 WATCH","—")))</f>
        <v/>
      </c>
      <c r="I97" s="21" t="n"/>
      <c r="J97" s="20" t="n"/>
    </row>
    <row r="98" ht="18" customHeight="1">
      <c r="A98" s="20" t="n"/>
      <c r="B98" s="20" t="n"/>
      <c r="C98" s="20" t="n"/>
      <c r="D98" s="20" t="n"/>
      <c r="E98" s="20" t="n"/>
      <c r="F98" s="21" t="n"/>
      <c r="G98" s="24">
        <f>IF(F98="","",TODAY()-F98)</f>
        <v/>
      </c>
      <c r="H98" s="25">
        <f>IF(OR(E98="Stage X",E98="Stage 6",E98="",F98=""),"—",IF(AND(G98&gt;14,OR(E98="Stage 1",E98="Stage 2",E98="Stage 3",E98="Stage 4")),"🔴 AGED",IF(AND(G98&gt;7,OR(E98="Stage 2",E98="Stage 3",E98="Stage 4")),"🟡 WATCH","—")))</f>
        <v/>
      </c>
      <c r="I98" s="21" t="n"/>
      <c r="J98" s="20" t="n"/>
    </row>
    <row r="99" ht="18" customHeight="1">
      <c r="A99" s="20" t="n"/>
      <c r="B99" s="20" t="n"/>
      <c r="C99" s="20" t="n"/>
      <c r="D99" s="20" t="n"/>
      <c r="E99" s="20" t="n"/>
      <c r="F99" s="21" t="n"/>
      <c r="G99" s="24">
        <f>IF(F99="","",TODAY()-F99)</f>
        <v/>
      </c>
      <c r="H99" s="25">
        <f>IF(OR(E99="Stage X",E99="Stage 6",E99="",F99=""),"—",IF(AND(G99&gt;14,OR(E99="Stage 1",E99="Stage 2",E99="Stage 3",E99="Stage 4")),"🔴 AGED",IF(AND(G99&gt;7,OR(E99="Stage 2",E99="Stage 3",E99="Stage 4")),"🟡 WATCH","—")))</f>
        <v/>
      </c>
      <c r="I99" s="21" t="n"/>
      <c r="J99" s="20" t="n"/>
    </row>
    <row r="100" ht="18" customHeight="1">
      <c r="A100" s="20" t="n"/>
      <c r="B100" s="20" t="n"/>
      <c r="C100" s="20" t="n"/>
      <c r="D100" s="20" t="n"/>
      <c r="E100" s="20" t="n"/>
      <c r="F100" s="21" t="n"/>
      <c r="G100" s="24">
        <f>IF(F100="","",TODAY()-F100)</f>
        <v/>
      </c>
      <c r="H100" s="25">
        <f>IF(OR(E100="Stage X",E100="Stage 6",E100="",F100=""),"—",IF(AND(G100&gt;14,OR(E100="Stage 1",E100="Stage 2",E100="Stage 3",E100="Stage 4")),"🔴 AGED",IF(AND(G100&gt;7,OR(E100="Stage 2",E100="Stage 3",E100="Stage 4")),"🟡 WATCH","—")))</f>
        <v/>
      </c>
      <c r="I100" s="21" t="n"/>
      <c r="J100" s="20" t="n"/>
    </row>
    <row r="101" ht="18" customHeight="1">
      <c r="A101" s="20" t="n"/>
      <c r="B101" s="20" t="n"/>
      <c r="C101" s="20" t="n"/>
      <c r="D101" s="20" t="n"/>
      <c r="E101" s="20" t="n"/>
      <c r="F101" s="21" t="n"/>
      <c r="G101" s="24">
        <f>IF(F101="","",TODAY()-F101)</f>
        <v/>
      </c>
      <c r="H101" s="25">
        <f>IF(OR(E101="Stage X",E101="Stage 6",E101="",F101=""),"—",IF(AND(G101&gt;14,OR(E101="Stage 1",E101="Stage 2",E101="Stage 3",E101="Stage 4")),"🔴 AGED",IF(AND(G101&gt;7,OR(E101="Stage 2",E101="Stage 3",E101="Stage 4")),"🟡 WATCH","—")))</f>
        <v/>
      </c>
      <c r="I101" s="21" t="n"/>
      <c r="J101" s="20" t="n"/>
    </row>
    <row r="102" ht="18" customHeight="1">
      <c r="A102" s="20" t="n"/>
      <c r="B102" s="20" t="n"/>
      <c r="C102" s="20" t="n"/>
      <c r="D102" s="20" t="n"/>
      <c r="E102" s="20" t="n"/>
      <c r="F102" s="21" t="n"/>
      <c r="G102" s="24">
        <f>IF(F102="","",TODAY()-F102)</f>
        <v/>
      </c>
      <c r="H102" s="25">
        <f>IF(OR(E102="Stage X",E102="Stage 6",E102="",F102=""),"—",IF(AND(G102&gt;14,OR(E102="Stage 1",E102="Stage 2",E102="Stage 3",E102="Stage 4")),"🔴 AGED",IF(AND(G102&gt;7,OR(E102="Stage 2",E102="Stage 3",E102="Stage 4")),"🟡 WATCH","—")))</f>
        <v/>
      </c>
      <c r="I102" s="21" t="n"/>
      <c r="J102" s="20" t="n"/>
    </row>
    <row r="103" ht="18" customHeight="1">
      <c r="A103" s="20" t="n"/>
      <c r="B103" s="20" t="n"/>
      <c r="C103" s="20" t="n"/>
      <c r="D103" s="20" t="n"/>
      <c r="E103" s="20" t="n"/>
      <c r="F103" s="21" t="n"/>
      <c r="G103" s="24">
        <f>IF(F103="","",TODAY()-F103)</f>
        <v/>
      </c>
      <c r="H103" s="25">
        <f>IF(OR(E103="Stage X",E103="Stage 6",E103="",F103=""),"—",IF(AND(G103&gt;14,OR(E103="Stage 1",E103="Stage 2",E103="Stage 3",E103="Stage 4")),"🔴 AGED",IF(AND(G103&gt;7,OR(E103="Stage 2",E103="Stage 3",E103="Stage 4")),"🟡 WATCH","—")))</f>
        <v/>
      </c>
      <c r="I103" s="21" t="n"/>
      <c r="J103" s="20" t="n"/>
    </row>
    <row r="104" ht="18" customHeight="1">
      <c r="A104" s="20" t="n"/>
      <c r="B104" s="20" t="n"/>
      <c r="C104" s="20" t="n"/>
      <c r="D104" s="20" t="n"/>
      <c r="E104" s="20" t="n"/>
      <c r="F104" s="21" t="n"/>
      <c r="G104" s="24">
        <f>IF(F104="","",TODAY()-F104)</f>
        <v/>
      </c>
      <c r="H104" s="25">
        <f>IF(OR(E104="Stage X",E104="Stage 6",E104="",F104=""),"—",IF(AND(G104&gt;14,OR(E104="Stage 1",E104="Stage 2",E104="Stage 3",E104="Stage 4")),"🔴 AGED",IF(AND(G104&gt;7,OR(E104="Stage 2",E104="Stage 3",E104="Stage 4")),"🟡 WATCH","—")))</f>
        <v/>
      </c>
      <c r="I104" s="21" t="n"/>
      <c r="J104" s="20" t="n"/>
    </row>
    <row r="105" ht="18" customHeight="1">
      <c r="A105" s="20" t="n"/>
      <c r="B105" s="20" t="n"/>
      <c r="C105" s="20" t="n"/>
      <c r="D105" s="20" t="n"/>
      <c r="E105" s="20" t="n"/>
      <c r="F105" s="21" t="n"/>
      <c r="G105" s="24">
        <f>IF(F105="","",TODAY()-F105)</f>
        <v/>
      </c>
      <c r="H105" s="25">
        <f>IF(OR(E105="Stage X",E105="Stage 6",E105="",F105=""),"—",IF(AND(G105&gt;14,OR(E105="Stage 1",E105="Stage 2",E105="Stage 3",E105="Stage 4")),"🔴 AGED",IF(AND(G105&gt;7,OR(E105="Stage 2",E105="Stage 3",E105="Stage 4")),"🟡 WATCH","—")))</f>
        <v/>
      </c>
      <c r="I105" s="21" t="n"/>
      <c r="J105" s="20" t="n"/>
    </row>
    <row r="106" ht="18" customHeight="1">
      <c r="A106" s="20" t="n"/>
      <c r="B106" s="20" t="n"/>
      <c r="C106" s="20" t="n"/>
      <c r="D106" s="20" t="n"/>
      <c r="E106" s="20" t="n"/>
      <c r="F106" s="21" t="n"/>
      <c r="G106" s="24">
        <f>IF(F106="","",TODAY()-F106)</f>
        <v/>
      </c>
      <c r="H106" s="25">
        <f>IF(OR(E106="Stage X",E106="Stage 6",E106="",F106=""),"—",IF(AND(G106&gt;14,OR(E106="Stage 1",E106="Stage 2",E106="Stage 3",E106="Stage 4")),"🔴 AGED",IF(AND(G106&gt;7,OR(E106="Stage 2",E106="Stage 3",E106="Stage 4")),"🟡 WATCH","—")))</f>
        <v/>
      </c>
      <c r="I106" s="21" t="n"/>
      <c r="J106" s="20" t="n"/>
    </row>
    <row r="107" ht="18" customHeight="1">
      <c r="A107" s="20" t="n"/>
      <c r="B107" s="20" t="n"/>
      <c r="C107" s="20" t="n"/>
      <c r="D107" s="20" t="n"/>
      <c r="E107" s="20" t="n"/>
      <c r="F107" s="21" t="n"/>
      <c r="G107" s="24">
        <f>IF(F107="","",TODAY()-F107)</f>
        <v/>
      </c>
      <c r="H107" s="25">
        <f>IF(OR(E107="Stage X",E107="Stage 6",E107="",F107=""),"—",IF(AND(G107&gt;14,OR(E107="Stage 1",E107="Stage 2",E107="Stage 3",E107="Stage 4")),"🔴 AGED",IF(AND(G107&gt;7,OR(E107="Stage 2",E107="Stage 3",E107="Stage 4")),"🟡 WATCH","—")))</f>
        <v/>
      </c>
      <c r="I107" s="21" t="n"/>
      <c r="J107" s="20" t="n"/>
    </row>
    <row r="108" ht="18" customHeight="1">
      <c r="A108" s="20" t="n"/>
      <c r="B108" s="20" t="n"/>
      <c r="C108" s="20" t="n"/>
      <c r="D108" s="20" t="n"/>
      <c r="E108" s="20" t="n"/>
      <c r="F108" s="21" t="n"/>
      <c r="G108" s="24">
        <f>IF(F108="","",TODAY()-F108)</f>
        <v/>
      </c>
      <c r="H108" s="25">
        <f>IF(OR(E108="Stage X",E108="Stage 6",E108="",F108=""),"—",IF(AND(G108&gt;14,OR(E108="Stage 1",E108="Stage 2",E108="Stage 3",E108="Stage 4")),"🔴 AGED",IF(AND(G108&gt;7,OR(E108="Stage 2",E108="Stage 3",E108="Stage 4")),"🟡 WATCH","—")))</f>
        <v/>
      </c>
      <c r="I108" s="21" t="n"/>
      <c r="J108" s="20" t="n"/>
    </row>
    <row r="109" ht="18" customHeight="1">
      <c r="A109" s="20" t="n"/>
      <c r="B109" s="20" t="n"/>
      <c r="C109" s="20" t="n"/>
      <c r="D109" s="20" t="n"/>
      <c r="E109" s="20" t="n"/>
      <c r="F109" s="21" t="n"/>
      <c r="G109" s="24">
        <f>IF(F109="","",TODAY()-F109)</f>
        <v/>
      </c>
      <c r="H109" s="25">
        <f>IF(OR(E109="Stage X",E109="Stage 6",E109="",F109=""),"—",IF(AND(G109&gt;14,OR(E109="Stage 1",E109="Stage 2",E109="Stage 3",E109="Stage 4")),"🔴 AGED",IF(AND(G109&gt;7,OR(E109="Stage 2",E109="Stage 3",E109="Stage 4")),"🟡 WATCH","—")))</f>
        <v/>
      </c>
      <c r="I109" s="21" t="n"/>
      <c r="J109" s="20" t="n"/>
    </row>
    <row r="110" ht="18" customHeight="1">
      <c r="A110" s="20" t="n"/>
      <c r="B110" s="20" t="n"/>
      <c r="C110" s="20" t="n"/>
      <c r="D110" s="20" t="n"/>
      <c r="E110" s="20" t="n"/>
      <c r="F110" s="21" t="n"/>
      <c r="G110" s="24">
        <f>IF(F110="","",TODAY()-F110)</f>
        <v/>
      </c>
      <c r="H110" s="25">
        <f>IF(OR(E110="Stage X",E110="Stage 6",E110="",F110=""),"—",IF(AND(G110&gt;14,OR(E110="Stage 1",E110="Stage 2",E110="Stage 3",E110="Stage 4")),"🔴 AGED",IF(AND(G110&gt;7,OR(E110="Stage 2",E110="Stage 3",E110="Stage 4")),"🟡 WATCH","—")))</f>
        <v/>
      </c>
      <c r="I110" s="21" t="n"/>
      <c r="J110" s="20" t="n"/>
    </row>
    <row r="111" ht="18" customHeight="1">
      <c r="A111" s="20" t="n"/>
      <c r="B111" s="20" t="n"/>
      <c r="C111" s="20" t="n"/>
      <c r="D111" s="20" t="n"/>
      <c r="E111" s="20" t="n"/>
      <c r="F111" s="21" t="n"/>
      <c r="G111" s="24">
        <f>IF(F111="","",TODAY()-F111)</f>
        <v/>
      </c>
      <c r="H111" s="25">
        <f>IF(OR(E111="Stage X",E111="Stage 6",E111="",F111=""),"—",IF(AND(G111&gt;14,OR(E111="Stage 1",E111="Stage 2",E111="Stage 3",E111="Stage 4")),"🔴 AGED",IF(AND(G111&gt;7,OR(E111="Stage 2",E111="Stage 3",E111="Stage 4")),"🟡 WATCH","—")))</f>
        <v/>
      </c>
      <c r="I111" s="21" t="n"/>
      <c r="J111" s="20" t="n"/>
    </row>
    <row r="112" ht="18" customHeight="1">
      <c r="A112" s="20" t="n"/>
      <c r="B112" s="20" t="n"/>
      <c r="C112" s="20" t="n"/>
      <c r="D112" s="20" t="n"/>
      <c r="E112" s="20" t="n"/>
      <c r="F112" s="21" t="n"/>
      <c r="G112" s="24">
        <f>IF(F112="","",TODAY()-F112)</f>
        <v/>
      </c>
      <c r="H112" s="25">
        <f>IF(OR(E112="Stage X",E112="Stage 6",E112="",F112=""),"—",IF(AND(G112&gt;14,OR(E112="Stage 1",E112="Stage 2",E112="Stage 3",E112="Stage 4")),"🔴 AGED",IF(AND(G112&gt;7,OR(E112="Stage 2",E112="Stage 3",E112="Stage 4")),"🟡 WATCH","—")))</f>
        <v/>
      </c>
      <c r="I112" s="21" t="n"/>
      <c r="J112" s="20" t="n"/>
    </row>
    <row r="113" ht="18" customHeight="1">
      <c r="A113" s="20" t="n"/>
      <c r="B113" s="20" t="n"/>
      <c r="C113" s="20" t="n"/>
      <c r="D113" s="20" t="n"/>
      <c r="E113" s="20" t="n"/>
      <c r="F113" s="21" t="n"/>
      <c r="G113" s="24">
        <f>IF(F113="","",TODAY()-F113)</f>
        <v/>
      </c>
      <c r="H113" s="25">
        <f>IF(OR(E113="Stage X",E113="Stage 6",E113="",F113=""),"—",IF(AND(G113&gt;14,OR(E113="Stage 1",E113="Stage 2",E113="Stage 3",E113="Stage 4")),"🔴 AGED",IF(AND(G113&gt;7,OR(E113="Stage 2",E113="Stage 3",E113="Stage 4")),"🟡 WATCH","—")))</f>
        <v/>
      </c>
      <c r="I113" s="21" t="n"/>
      <c r="J113" s="20" t="n"/>
    </row>
    <row r="114" ht="18" customHeight="1">
      <c r="A114" s="20" t="n"/>
      <c r="B114" s="20" t="n"/>
      <c r="C114" s="20" t="n"/>
      <c r="D114" s="20" t="n"/>
      <c r="E114" s="20" t="n"/>
      <c r="F114" s="21" t="n"/>
      <c r="G114" s="24">
        <f>IF(F114="","",TODAY()-F114)</f>
        <v/>
      </c>
      <c r="H114" s="25">
        <f>IF(OR(E114="Stage X",E114="Stage 6",E114="",F114=""),"—",IF(AND(G114&gt;14,OR(E114="Stage 1",E114="Stage 2",E114="Stage 3",E114="Stage 4")),"🔴 AGED",IF(AND(G114&gt;7,OR(E114="Stage 2",E114="Stage 3",E114="Stage 4")),"🟡 WATCH","—")))</f>
        <v/>
      </c>
      <c r="I114" s="21" t="n"/>
      <c r="J114" s="20" t="n"/>
    </row>
    <row r="115" ht="18" customHeight="1">
      <c r="A115" s="20" t="n"/>
      <c r="B115" s="20" t="n"/>
      <c r="C115" s="20" t="n"/>
      <c r="D115" s="20" t="n"/>
      <c r="E115" s="20" t="n"/>
      <c r="F115" s="21" t="n"/>
      <c r="G115" s="24">
        <f>IF(F115="","",TODAY()-F115)</f>
        <v/>
      </c>
      <c r="H115" s="25">
        <f>IF(OR(E115="Stage X",E115="Stage 6",E115="",F115=""),"—",IF(AND(G115&gt;14,OR(E115="Stage 1",E115="Stage 2",E115="Stage 3",E115="Stage 4")),"🔴 AGED",IF(AND(G115&gt;7,OR(E115="Stage 2",E115="Stage 3",E115="Stage 4")),"🟡 WATCH","—")))</f>
        <v/>
      </c>
      <c r="I115" s="21" t="n"/>
      <c r="J115" s="20" t="n"/>
    </row>
    <row r="116" ht="18" customHeight="1">
      <c r="A116" s="20" t="n"/>
      <c r="B116" s="20" t="n"/>
      <c r="C116" s="20" t="n"/>
      <c r="D116" s="20" t="n"/>
      <c r="E116" s="20" t="n"/>
      <c r="F116" s="21" t="n"/>
      <c r="G116" s="24">
        <f>IF(F116="","",TODAY()-F116)</f>
        <v/>
      </c>
      <c r="H116" s="25">
        <f>IF(OR(E116="Stage X",E116="Stage 6",E116="",F116=""),"—",IF(AND(G116&gt;14,OR(E116="Stage 1",E116="Stage 2",E116="Stage 3",E116="Stage 4")),"🔴 AGED",IF(AND(G116&gt;7,OR(E116="Stage 2",E116="Stage 3",E116="Stage 4")),"🟡 WATCH","—")))</f>
        <v/>
      </c>
      <c r="I116" s="21" t="n"/>
      <c r="J116" s="20" t="n"/>
    </row>
    <row r="117" ht="18" customHeight="1">
      <c r="A117" s="20" t="n"/>
      <c r="B117" s="20" t="n"/>
      <c r="C117" s="20" t="n"/>
      <c r="D117" s="20" t="n"/>
      <c r="E117" s="20" t="n"/>
      <c r="F117" s="21" t="n"/>
      <c r="G117" s="24">
        <f>IF(F117="","",TODAY()-F117)</f>
        <v/>
      </c>
      <c r="H117" s="25">
        <f>IF(OR(E117="Stage X",E117="Stage 6",E117="",F117=""),"—",IF(AND(G117&gt;14,OR(E117="Stage 1",E117="Stage 2",E117="Stage 3",E117="Stage 4")),"🔴 AGED",IF(AND(G117&gt;7,OR(E117="Stage 2",E117="Stage 3",E117="Stage 4")),"🟡 WATCH","—")))</f>
        <v/>
      </c>
      <c r="I117" s="21" t="n"/>
      <c r="J117" s="20" t="n"/>
    </row>
    <row r="118" ht="18" customHeight="1">
      <c r="A118" s="20" t="n"/>
      <c r="B118" s="20" t="n"/>
      <c r="C118" s="20" t="n"/>
      <c r="D118" s="20" t="n"/>
      <c r="E118" s="20" t="n"/>
      <c r="F118" s="21" t="n"/>
      <c r="G118" s="24">
        <f>IF(F118="","",TODAY()-F118)</f>
        <v/>
      </c>
      <c r="H118" s="25">
        <f>IF(OR(E118="Stage X",E118="Stage 6",E118="",F118=""),"—",IF(AND(G118&gt;14,OR(E118="Stage 1",E118="Stage 2",E118="Stage 3",E118="Stage 4")),"🔴 AGED",IF(AND(G118&gt;7,OR(E118="Stage 2",E118="Stage 3",E118="Stage 4")),"🟡 WATCH","—")))</f>
        <v/>
      </c>
      <c r="I118" s="21" t="n"/>
      <c r="J118" s="20" t="n"/>
    </row>
    <row r="119" ht="18" customHeight="1">
      <c r="A119" s="20" t="n"/>
      <c r="B119" s="20" t="n"/>
      <c r="C119" s="20" t="n"/>
      <c r="D119" s="20" t="n"/>
      <c r="E119" s="20" t="n"/>
      <c r="F119" s="21" t="n"/>
      <c r="G119" s="24">
        <f>IF(F119="","",TODAY()-F119)</f>
        <v/>
      </c>
      <c r="H119" s="25">
        <f>IF(OR(E119="Stage X",E119="Stage 6",E119="",F119=""),"—",IF(AND(G119&gt;14,OR(E119="Stage 1",E119="Stage 2",E119="Stage 3",E119="Stage 4")),"🔴 AGED",IF(AND(G119&gt;7,OR(E119="Stage 2",E119="Stage 3",E119="Stage 4")),"🟡 WATCH","—")))</f>
        <v/>
      </c>
      <c r="I119" s="21" t="n"/>
      <c r="J119" s="20" t="n"/>
    </row>
    <row r="120" ht="18" customHeight="1">
      <c r="A120" s="20" t="n"/>
      <c r="B120" s="20" t="n"/>
      <c r="C120" s="20" t="n"/>
      <c r="D120" s="20" t="n"/>
      <c r="E120" s="20" t="n"/>
      <c r="F120" s="21" t="n"/>
      <c r="G120" s="24">
        <f>IF(F120="","",TODAY()-F120)</f>
        <v/>
      </c>
      <c r="H120" s="25">
        <f>IF(OR(E120="Stage X",E120="Stage 6",E120="",F120=""),"—",IF(AND(G120&gt;14,OR(E120="Stage 1",E120="Stage 2",E120="Stage 3",E120="Stage 4")),"🔴 AGED",IF(AND(G120&gt;7,OR(E120="Stage 2",E120="Stage 3",E120="Stage 4")),"🟡 WATCH","—")))</f>
        <v/>
      </c>
      <c r="I120" s="21" t="n"/>
      <c r="J120" s="20" t="n"/>
    </row>
    <row r="121" ht="18" customHeight="1">
      <c r="A121" s="20" t="n"/>
      <c r="B121" s="20" t="n"/>
      <c r="C121" s="20" t="n"/>
      <c r="D121" s="20" t="n"/>
      <c r="E121" s="20" t="n"/>
      <c r="F121" s="21" t="n"/>
      <c r="G121" s="24">
        <f>IF(F121="","",TODAY()-F121)</f>
        <v/>
      </c>
      <c r="H121" s="25">
        <f>IF(OR(E121="Stage X",E121="Stage 6",E121="",F121=""),"—",IF(AND(G121&gt;14,OR(E121="Stage 1",E121="Stage 2",E121="Stage 3",E121="Stage 4")),"🔴 AGED",IF(AND(G121&gt;7,OR(E121="Stage 2",E121="Stage 3",E121="Stage 4")),"🟡 WATCH","—")))</f>
        <v/>
      </c>
      <c r="I121" s="21" t="n"/>
      <c r="J121" s="20" t="n"/>
    </row>
    <row r="122" ht="18" customHeight="1">
      <c r="A122" s="20" t="n"/>
      <c r="B122" s="20" t="n"/>
      <c r="C122" s="20" t="n"/>
      <c r="D122" s="20" t="n"/>
      <c r="E122" s="20" t="n"/>
      <c r="F122" s="21" t="n"/>
      <c r="G122" s="24">
        <f>IF(F122="","",TODAY()-F122)</f>
        <v/>
      </c>
      <c r="H122" s="25">
        <f>IF(OR(E122="Stage X",E122="Stage 6",E122="",F122=""),"—",IF(AND(G122&gt;14,OR(E122="Stage 1",E122="Stage 2",E122="Stage 3",E122="Stage 4")),"🔴 AGED",IF(AND(G122&gt;7,OR(E122="Stage 2",E122="Stage 3",E122="Stage 4")),"🟡 WATCH","—")))</f>
        <v/>
      </c>
      <c r="I122" s="21" t="n"/>
      <c r="J122" s="20" t="n"/>
    </row>
    <row r="123" ht="18" customHeight="1">
      <c r="A123" s="20" t="n"/>
      <c r="B123" s="20" t="n"/>
      <c r="C123" s="20" t="n"/>
      <c r="D123" s="20" t="n"/>
      <c r="E123" s="20" t="n"/>
      <c r="F123" s="21" t="n"/>
      <c r="G123" s="24">
        <f>IF(F123="","",TODAY()-F123)</f>
        <v/>
      </c>
      <c r="H123" s="25">
        <f>IF(OR(E123="Stage X",E123="Stage 6",E123="",F123=""),"—",IF(AND(G123&gt;14,OR(E123="Stage 1",E123="Stage 2",E123="Stage 3",E123="Stage 4")),"🔴 AGED",IF(AND(G123&gt;7,OR(E123="Stage 2",E123="Stage 3",E123="Stage 4")),"🟡 WATCH","—")))</f>
        <v/>
      </c>
      <c r="I123" s="21" t="n"/>
      <c r="J123" s="20" t="n"/>
    </row>
    <row r="124" ht="18" customHeight="1">
      <c r="A124" s="20" t="n"/>
      <c r="B124" s="20" t="n"/>
      <c r="C124" s="20" t="n"/>
      <c r="D124" s="20" t="n"/>
      <c r="E124" s="20" t="n"/>
      <c r="F124" s="21" t="n"/>
      <c r="G124" s="24">
        <f>IF(F124="","",TODAY()-F124)</f>
        <v/>
      </c>
      <c r="H124" s="25">
        <f>IF(OR(E124="Stage X",E124="Stage 6",E124="",F124=""),"—",IF(AND(G124&gt;14,OR(E124="Stage 1",E124="Stage 2",E124="Stage 3",E124="Stage 4")),"🔴 AGED",IF(AND(G124&gt;7,OR(E124="Stage 2",E124="Stage 3",E124="Stage 4")),"🟡 WATCH","—")))</f>
        <v/>
      </c>
      <c r="I124" s="21" t="n"/>
      <c r="J124" s="20" t="n"/>
    </row>
    <row r="125" ht="18" customHeight="1">
      <c r="A125" s="20" t="n"/>
      <c r="B125" s="20" t="n"/>
      <c r="C125" s="20" t="n"/>
      <c r="D125" s="20" t="n"/>
      <c r="E125" s="20" t="n"/>
      <c r="F125" s="21" t="n"/>
      <c r="G125" s="24">
        <f>IF(F125="","",TODAY()-F125)</f>
        <v/>
      </c>
      <c r="H125" s="25">
        <f>IF(OR(E125="Stage X",E125="Stage 6",E125="",F125=""),"—",IF(AND(G125&gt;14,OR(E125="Stage 1",E125="Stage 2",E125="Stage 3",E125="Stage 4")),"🔴 AGED",IF(AND(G125&gt;7,OR(E125="Stage 2",E125="Stage 3",E125="Stage 4")),"🟡 WATCH","—")))</f>
        <v/>
      </c>
      <c r="I125" s="21" t="n"/>
      <c r="J125" s="20" t="n"/>
    </row>
    <row r="126" ht="18" customHeight="1">
      <c r="A126" s="20" t="n"/>
      <c r="B126" s="20" t="n"/>
      <c r="C126" s="20" t="n"/>
      <c r="D126" s="20" t="n"/>
      <c r="E126" s="20" t="n"/>
      <c r="F126" s="21" t="n"/>
      <c r="G126" s="24">
        <f>IF(F126="","",TODAY()-F126)</f>
        <v/>
      </c>
      <c r="H126" s="25">
        <f>IF(OR(E126="Stage X",E126="Stage 6",E126="",F126=""),"—",IF(AND(G126&gt;14,OR(E126="Stage 1",E126="Stage 2",E126="Stage 3",E126="Stage 4")),"🔴 AGED",IF(AND(G126&gt;7,OR(E126="Stage 2",E126="Stage 3",E126="Stage 4")),"🟡 WATCH","—")))</f>
        <v/>
      </c>
      <c r="I126" s="21" t="n"/>
      <c r="J126" s="20" t="n"/>
    </row>
    <row r="127" ht="18" customHeight="1">
      <c r="A127" s="20" t="n"/>
      <c r="B127" s="20" t="n"/>
      <c r="C127" s="20" t="n"/>
      <c r="D127" s="20" t="n"/>
      <c r="E127" s="20" t="n"/>
      <c r="F127" s="21" t="n"/>
      <c r="G127" s="24">
        <f>IF(F127="","",TODAY()-F127)</f>
        <v/>
      </c>
      <c r="H127" s="25">
        <f>IF(OR(E127="Stage X",E127="Stage 6",E127="",F127=""),"—",IF(AND(G127&gt;14,OR(E127="Stage 1",E127="Stage 2",E127="Stage 3",E127="Stage 4")),"🔴 AGED",IF(AND(G127&gt;7,OR(E127="Stage 2",E127="Stage 3",E127="Stage 4")),"🟡 WATCH","—")))</f>
        <v/>
      </c>
      <c r="I127" s="21" t="n"/>
      <c r="J127" s="20" t="n"/>
    </row>
    <row r="128" ht="18" customHeight="1">
      <c r="A128" s="20" t="n"/>
      <c r="B128" s="20" t="n"/>
      <c r="C128" s="20" t="n"/>
      <c r="D128" s="20" t="n"/>
      <c r="E128" s="20" t="n"/>
      <c r="F128" s="21" t="n"/>
      <c r="G128" s="24">
        <f>IF(F128="","",TODAY()-F128)</f>
        <v/>
      </c>
      <c r="H128" s="25">
        <f>IF(OR(E128="Stage X",E128="Stage 6",E128="",F128=""),"—",IF(AND(G128&gt;14,OR(E128="Stage 1",E128="Stage 2",E128="Stage 3",E128="Stage 4")),"🔴 AGED",IF(AND(G128&gt;7,OR(E128="Stage 2",E128="Stage 3",E128="Stage 4")),"🟡 WATCH","—")))</f>
        <v/>
      </c>
      <c r="I128" s="21" t="n"/>
      <c r="J128" s="20" t="n"/>
    </row>
    <row r="129" ht="18" customHeight="1">
      <c r="A129" s="20" t="n"/>
      <c r="B129" s="20" t="n"/>
      <c r="C129" s="20" t="n"/>
      <c r="D129" s="20" t="n"/>
      <c r="E129" s="20" t="n"/>
      <c r="F129" s="21" t="n"/>
      <c r="G129" s="24">
        <f>IF(F129="","",TODAY()-F129)</f>
        <v/>
      </c>
      <c r="H129" s="25">
        <f>IF(OR(E129="Stage X",E129="Stage 6",E129="",F129=""),"—",IF(AND(G129&gt;14,OR(E129="Stage 1",E129="Stage 2",E129="Stage 3",E129="Stage 4")),"🔴 AGED",IF(AND(G129&gt;7,OR(E129="Stage 2",E129="Stage 3",E129="Stage 4")),"🟡 WATCH","—")))</f>
        <v/>
      </c>
      <c r="I129" s="21" t="n"/>
      <c r="J129" s="20" t="n"/>
    </row>
    <row r="130" ht="18" customHeight="1">
      <c r="A130" s="20" t="n"/>
      <c r="B130" s="20" t="n"/>
      <c r="C130" s="20" t="n"/>
      <c r="D130" s="20" t="n"/>
      <c r="E130" s="20" t="n"/>
      <c r="F130" s="21" t="n"/>
      <c r="G130" s="24">
        <f>IF(F130="","",TODAY()-F130)</f>
        <v/>
      </c>
      <c r="H130" s="25">
        <f>IF(OR(E130="Stage X",E130="Stage 6",E130="",F130=""),"—",IF(AND(G130&gt;14,OR(E130="Stage 1",E130="Stage 2",E130="Stage 3",E130="Stage 4")),"🔴 AGED",IF(AND(G130&gt;7,OR(E130="Stage 2",E130="Stage 3",E130="Stage 4")),"🟡 WATCH","—")))</f>
        <v/>
      </c>
      <c r="I130" s="21" t="n"/>
      <c r="J130" s="20" t="n"/>
    </row>
    <row r="131" ht="18" customHeight="1">
      <c r="A131" s="20" t="n"/>
      <c r="B131" s="20" t="n"/>
      <c r="C131" s="20" t="n"/>
      <c r="D131" s="20" t="n"/>
      <c r="E131" s="20" t="n"/>
      <c r="F131" s="21" t="n"/>
      <c r="G131" s="24">
        <f>IF(F131="","",TODAY()-F131)</f>
        <v/>
      </c>
      <c r="H131" s="25">
        <f>IF(OR(E131="Stage X",E131="Stage 6",E131="",F131=""),"—",IF(AND(G131&gt;14,OR(E131="Stage 1",E131="Stage 2",E131="Stage 3",E131="Stage 4")),"🔴 AGED",IF(AND(G131&gt;7,OR(E131="Stage 2",E131="Stage 3",E131="Stage 4")),"🟡 WATCH","—")))</f>
        <v/>
      </c>
      <c r="I131" s="21" t="n"/>
      <c r="J131" s="20" t="n"/>
    </row>
    <row r="132" ht="18" customHeight="1">
      <c r="A132" s="20" t="n"/>
      <c r="B132" s="20" t="n"/>
      <c r="C132" s="20" t="n"/>
      <c r="D132" s="20" t="n"/>
      <c r="E132" s="20" t="n"/>
      <c r="F132" s="21" t="n"/>
      <c r="G132" s="24">
        <f>IF(F132="","",TODAY()-F132)</f>
        <v/>
      </c>
      <c r="H132" s="25">
        <f>IF(OR(E132="Stage X",E132="Stage 6",E132="",F132=""),"—",IF(AND(G132&gt;14,OR(E132="Stage 1",E132="Stage 2",E132="Stage 3",E132="Stage 4")),"🔴 AGED",IF(AND(G132&gt;7,OR(E132="Stage 2",E132="Stage 3",E132="Stage 4")),"🟡 WATCH","—")))</f>
        <v/>
      </c>
      <c r="I132" s="21" t="n"/>
      <c r="J132" s="20" t="n"/>
    </row>
    <row r="133" ht="18" customHeight="1">
      <c r="A133" s="20" t="n"/>
      <c r="B133" s="20" t="n"/>
      <c r="C133" s="20" t="n"/>
      <c r="D133" s="20" t="n"/>
      <c r="E133" s="20" t="n"/>
      <c r="F133" s="21" t="n"/>
      <c r="G133" s="24">
        <f>IF(F133="","",TODAY()-F133)</f>
        <v/>
      </c>
      <c r="H133" s="25">
        <f>IF(OR(E133="Stage X",E133="Stage 6",E133="",F133=""),"—",IF(AND(G133&gt;14,OR(E133="Stage 1",E133="Stage 2",E133="Stage 3",E133="Stage 4")),"🔴 AGED",IF(AND(G133&gt;7,OR(E133="Stage 2",E133="Stage 3",E133="Stage 4")),"🟡 WATCH","—")))</f>
        <v/>
      </c>
      <c r="I133" s="21" t="n"/>
      <c r="J133" s="20" t="n"/>
    </row>
    <row r="134" ht="18" customHeight="1">
      <c r="A134" s="20" t="n"/>
      <c r="B134" s="20" t="n"/>
      <c r="C134" s="20" t="n"/>
      <c r="D134" s="20" t="n"/>
      <c r="E134" s="20" t="n"/>
      <c r="F134" s="21" t="n"/>
      <c r="G134" s="24">
        <f>IF(F134="","",TODAY()-F134)</f>
        <v/>
      </c>
      <c r="H134" s="25">
        <f>IF(OR(E134="Stage X",E134="Stage 6",E134="",F134=""),"—",IF(AND(G134&gt;14,OR(E134="Stage 1",E134="Stage 2",E134="Stage 3",E134="Stage 4")),"🔴 AGED",IF(AND(G134&gt;7,OR(E134="Stage 2",E134="Stage 3",E134="Stage 4")),"🟡 WATCH","—")))</f>
        <v/>
      </c>
      <c r="I134" s="21" t="n"/>
      <c r="J134" s="20" t="n"/>
    </row>
    <row r="135" ht="18" customHeight="1">
      <c r="A135" s="20" t="n"/>
      <c r="B135" s="20" t="n"/>
      <c r="C135" s="20" t="n"/>
      <c r="D135" s="20" t="n"/>
      <c r="E135" s="20" t="n"/>
      <c r="F135" s="21" t="n"/>
      <c r="G135" s="24">
        <f>IF(F135="","",TODAY()-F135)</f>
        <v/>
      </c>
      <c r="H135" s="25">
        <f>IF(OR(E135="Stage X",E135="Stage 6",E135="",F135=""),"—",IF(AND(G135&gt;14,OR(E135="Stage 1",E135="Stage 2",E135="Stage 3",E135="Stage 4")),"🔴 AGED",IF(AND(G135&gt;7,OR(E135="Stage 2",E135="Stage 3",E135="Stage 4")),"🟡 WATCH","—")))</f>
        <v/>
      </c>
      <c r="I135" s="21" t="n"/>
      <c r="J135" s="20" t="n"/>
    </row>
    <row r="136" ht="18" customHeight="1">
      <c r="A136" s="20" t="n"/>
      <c r="B136" s="20" t="n"/>
      <c r="C136" s="20" t="n"/>
      <c r="D136" s="20" t="n"/>
      <c r="E136" s="20" t="n"/>
      <c r="F136" s="21" t="n"/>
      <c r="G136" s="24">
        <f>IF(F136="","",TODAY()-F136)</f>
        <v/>
      </c>
      <c r="H136" s="25">
        <f>IF(OR(E136="Stage X",E136="Stage 6",E136="",F136=""),"—",IF(AND(G136&gt;14,OR(E136="Stage 1",E136="Stage 2",E136="Stage 3",E136="Stage 4")),"🔴 AGED",IF(AND(G136&gt;7,OR(E136="Stage 2",E136="Stage 3",E136="Stage 4")),"🟡 WATCH","—")))</f>
        <v/>
      </c>
      <c r="I136" s="21" t="n"/>
      <c r="J136" s="20" t="n"/>
    </row>
    <row r="137" ht="18" customHeight="1">
      <c r="A137" s="20" t="n"/>
      <c r="B137" s="20" t="n"/>
      <c r="C137" s="20" t="n"/>
      <c r="D137" s="20" t="n"/>
      <c r="E137" s="20" t="n"/>
      <c r="F137" s="21" t="n"/>
      <c r="G137" s="24">
        <f>IF(F137="","",TODAY()-F137)</f>
        <v/>
      </c>
      <c r="H137" s="25">
        <f>IF(OR(E137="Stage X",E137="Stage 6",E137="",F137=""),"—",IF(AND(G137&gt;14,OR(E137="Stage 1",E137="Stage 2",E137="Stage 3",E137="Stage 4")),"🔴 AGED",IF(AND(G137&gt;7,OR(E137="Stage 2",E137="Stage 3",E137="Stage 4")),"🟡 WATCH","—")))</f>
        <v/>
      </c>
      <c r="I137" s="21" t="n"/>
      <c r="J137" s="20" t="n"/>
    </row>
    <row r="138" ht="18" customHeight="1">
      <c r="A138" s="20" t="n"/>
      <c r="B138" s="20" t="n"/>
      <c r="C138" s="20" t="n"/>
      <c r="D138" s="20" t="n"/>
      <c r="E138" s="20" t="n"/>
      <c r="F138" s="21" t="n"/>
      <c r="G138" s="24">
        <f>IF(F138="","",TODAY()-F138)</f>
        <v/>
      </c>
      <c r="H138" s="25">
        <f>IF(OR(E138="Stage X",E138="Stage 6",E138="",F138=""),"—",IF(AND(G138&gt;14,OR(E138="Stage 1",E138="Stage 2",E138="Stage 3",E138="Stage 4")),"🔴 AGED",IF(AND(G138&gt;7,OR(E138="Stage 2",E138="Stage 3",E138="Stage 4")),"🟡 WATCH","—")))</f>
        <v/>
      </c>
      <c r="I138" s="21" t="n"/>
      <c r="J138" s="20" t="n"/>
    </row>
    <row r="139" ht="18" customHeight="1">
      <c r="A139" s="20" t="n"/>
      <c r="B139" s="20" t="n"/>
      <c r="C139" s="20" t="n"/>
      <c r="D139" s="20" t="n"/>
      <c r="E139" s="20" t="n"/>
      <c r="F139" s="21" t="n"/>
      <c r="G139" s="24">
        <f>IF(F139="","",TODAY()-F139)</f>
        <v/>
      </c>
      <c r="H139" s="25">
        <f>IF(OR(E139="Stage X",E139="Stage 6",E139="",F139=""),"—",IF(AND(G139&gt;14,OR(E139="Stage 1",E139="Stage 2",E139="Stage 3",E139="Stage 4")),"🔴 AGED",IF(AND(G139&gt;7,OR(E139="Stage 2",E139="Stage 3",E139="Stage 4")),"🟡 WATCH","—")))</f>
        <v/>
      </c>
      <c r="I139" s="21" t="n"/>
      <c r="J139" s="20" t="n"/>
    </row>
    <row r="140" ht="18" customHeight="1">
      <c r="A140" s="20" t="n"/>
      <c r="B140" s="20" t="n"/>
      <c r="C140" s="20" t="n"/>
      <c r="D140" s="20" t="n"/>
      <c r="E140" s="20" t="n"/>
      <c r="F140" s="21" t="n"/>
      <c r="G140" s="24">
        <f>IF(F140="","",TODAY()-F140)</f>
        <v/>
      </c>
      <c r="H140" s="25">
        <f>IF(OR(E140="Stage X",E140="Stage 6",E140="",F140=""),"—",IF(AND(G140&gt;14,OR(E140="Stage 1",E140="Stage 2",E140="Stage 3",E140="Stage 4")),"🔴 AGED",IF(AND(G140&gt;7,OR(E140="Stage 2",E140="Stage 3",E140="Stage 4")),"🟡 WATCH","—")))</f>
        <v/>
      </c>
      <c r="I140" s="21" t="n"/>
      <c r="J140" s="20" t="n"/>
    </row>
    <row r="141" ht="18" customHeight="1">
      <c r="A141" s="20" t="n"/>
      <c r="B141" s="20" t="n"/>
      <c r="C141" s="20" t="n"/>
      <c r="D141" s="20" t="n"/>
      <c r="E141" s="20" t="n"/>
      <c r="F141" s="21" t="n"/>
      <c r="G141" s="24">
        <f>IF(F141="","",TODAY()-F141)</f>
        <v/>
      </c>
      <c r="H141" s="25">
        <f>IF(OR(E141="Stage X",E141="Stage 6",E141="",F141=""),"—",IF(AND(G141&gt;14,OR(E141="Stage 1",E141="Stage 2",E141="Stage 3",E141="Stage 4")),"🔴 AGED",IF(AND(G141&gt;7,OR(E141="Stage 2",E141="Stage 3",E141="Stage 4")),"🟡 WATCH","—")))</f>
        <v/>
      </c>
      <c r="I141" s="21" t="n"/>
      <c r="J141" s="20" t="n"/>
    </row>
    <row r="142" ht="18" customHeight="1">
      <c r="A142" s="20" t="n"/>
      <c r="B142" s="20" t="n"/>
      <c r="C142" s="20" t="n"/>
      <c r="D142" s="20" t="n"/>
      <c r="E142" s="20" t="n"/>
      <c r="F142" s="21" t="n"/>
      <c r="G142" s="24">
        <f>IF(F142="","",TODAY()-F142)</f>
        <v/>
      </c>
      <c r="H142" s="25">
        <f>IF(OR(E142="Stage X",E142="Stage 6",E142="",F142=""),"—",IF(AND(G142&gt;14,OR(E142="Stage 1",E142="Stage 2",E142="Stage 3",E142="Stage 4")),"🔴 AGED",IF(AND(G142&gt;7,OR(E142="Stage 2",E142="Stage 3",E142="Stage 4")),"🟡 WATCH","—")))</f>
        <v/>
      </c>
      <c r="I142" s="21" t="n"/>
      <c r="J142" s="20" t="n"/>
    </row>
    <row r="143" ht="18" customHeight="1">
      <c r="A143" s="20" t="n"/>
      <c r="B143" s="20" t="n"/>
      <c r="C143" s="20" t="n"/>
      <c r="D143" s="20" t="n"/>
      <c r="E143" s="20" t="n"/>
      <c r="F143" s="21" t="n"/>
      <c r="G143" s="24">
        <f>IF(F143="","",TODAY()-F143)</f>
        <v/>
      </c>
      <c r="H143" s="25">
        <f>IF(OR(E143="Stage X",E143="Stage 6",E143="",F143=""),"—",IF(AND(G143&gt;14,OR(E143="Stage 1",E143="Stage 2",E143="Stage 3",E143="Stage 4")),"🔴 AGED",IF(AND(G143&gt;7,OR(E143="Stage 2",E143="Stage 3",E143="Stage 4")),"🟡 WATCH","—")))</f>
        <v/>
      </c>
      <c r="I143" s="21" t="n"/>
      <c r="J143" s="20" t="n"/>
    </row>
    <row r="144" ht="18" customHeight="1">
      <c r="A144" s="20" t="n"/>
      <c r="B144" s="20" t="n"/>
      <c r="C144" s="20" t="n"/>
      <c r="D144" s="20" t="n"/>
      <c r="E144" s="20" t="n"/>
      <c r="F144" s="21" t="n"/>
      <c r="G144" s="24">
        <f>IF(F144="","",TODAY()-F144)</f>
        <v/>
      </c>
      <c r="H144" s="25">
        <f>IF(OR(E144="Stage X",E144="Stage 6",E144="",F144=""),"—",IF(AND(G144&gt;14,OR(E144="Stage 1",E144="Stage 2",E144="Stage 3",E144="Stage 4")),"🔴 AGED",IF(AND(G144&gt;7,OR(E144="Stage 2",E144="Stage 3",E144="Stage 4")),"🟡 WATCH","—")))</f>
        <v/>
      </c>
      <c r="I144" s="21" t="n"/>
      <c r="J144" s="20" t="n"/>
    </row>
    <row r="145" ht="18" customHeight="1">
      <c r="A145" s="20" t="n"/>
      <c r="B145" s="20" t="n"/>
      <c r="C145" s="20" t="n"/>
      <c r="D145" s="20" t="n"/>
      <c r="E145" s="20" t="n"/>
      <c r="F145" s="21" t="n"/>
      <c r="G145" s="24">
        <f>IF(F145="","",TODAY()-F145)</f>
        <v/>
      </c>
      <c r="H145" s="25">
        <f>IF(OR(E145="Stage X",E145="Stage 6",E145="",F145=""),"—",IF(AND(G145&gt;14,OR(E145="Stage 1",E145="Stage 2",E145="Stage 3",E145="Stage 4")),"🔴 AGED",IF(AND(G145&gt;7,OR(E145="Stage 2",E145="Stage 3",E145="Stage 4")),"🟡 WATCH","—")))</f>
        <v/>
      </c>
      <c r="I145" s="21" t="n"/>
      <c r="J145" s="20" t="n"/>
    </row>
    <row r="146" ht="18" customHeight="1">
      <c r="A146" s="20" t="n"/>
      <c r="B146" s="20" t="n"/>
      <c r="C146" s="20" t="n"/>
      <c r="D146" s="20" t="n"/>
      <c r="E146" s="20" t="n"/>
      <c r="F146" s="21" t="n"/>
      <c r="G146" s="24">
        <f>IF(F146="","",TODAY()-F146)</f>
        <v/>
      </c>
      <c r="H146" s="25">
        <f>IF(OR(E146="Stage X",E146="Stage 6",E146="",F146=""),"—",IF(AND(G146&gt;14,OR(E146="Stage 1",E146="Stage 2",E146="Stage 3",E146="Stage 4")),"🔴 AGED",IF(AND(G146&gt;7,OR(E146="Stage 2",E146="Stage 3",E146="Stage 4")),"🟡 WATCH","—")))</f>
        <v/>
      </c>
      <c r="I146" s="21" t="n"/>
      <c r="J146" s="20" t="n"/>
    </row>
    <row r="147" ht="18" customHeight="1">
      <c r="A147" s="20" t="n"/>
      <c r="B147" s="20" t="n"/>
      <c r="C147" s="20" t="n"/>
      <c r="D147" s="20" t="n"/>
      <c r="E147" s="20" t="n"/>
      <c r="F147" s="21" t="n"/>
      <c r="G147" s="24">
        <f>IF(F147="","",TODAY()-F147)</f>
        <v/>
      </c>
      <c r="H147" s="25">
        <f>IF(OR(E147="Stage X",E147="Stage 6",E147="",F147=""),"—",IF(AND(G147&gt;14,OR(E147="Stage 1",E147="Stage 2",E147="Stage 3",E147="Stage 4")),"🔴 AGED",IF(AND(G147&gt;7,OR(E147="Stage 2",E147="Stage 3",E147="Stage 4")),"🟡 WATCH","—")))</f>
        <v/>
      </c>
      <c r="I147" s="21" t="n"/>
      <c r="J147" s="20" t="n"/>
    </row>
    <row r="148" ht="18" customHeight="1">
      <c r="A148" s="20" t="n"/>
      <c r="B148" s="20" t="n"/>
      <c r="C148" s="20" t="n"/>
      <c r="D148" s="20" t="n"/>
      <c r="E148" s="20" t="n"/>
      <c r="F148" s="21" t="n"/>
      <c r="G148" s="24">
        <f>IF(F148="","",TODAY()-F148)</f>
        <v/>
      </c>
      <c r="H148" s="25">
        <f>IF(OR(E148="Stage X",E148="Stage 6",E148="",F148=""),"—",IF(AND(G148&gt;14,OR(E148="Stage 1",E148="Stage 2",E148="Stage 3",E148="Stage 4")),"🔴 AGED",IF(AND(G148&gt;7,OR(E148="Stage 2",E148="Stage 3",E148="Stage 4")),"🟡 WATCH","—")))</f>
        <v/>
      </c>
      <c r="I148" s="21" t="n"/>
      <c r="J148" s="20" t="n"/>
    </row>
    <row r="149" ht="18" customHeight="1">
      <c r="A149" s="20" t="n"/>
      <c r="B149" s="20" t="n"/>
      <c r="C149" s="20" t="n"/>
      <c r="D149" s="20" t="n"/>
      <c r="E149" s="20" t="n"/>
      <c r="F149" s="21" t="n"/>
      <c r="G149" s="24">
        <f>IF(F149="","",TODAY()-F149)</f>
        <v/>
      </c>
      <c r="H149" s="25">
        <f>IF(OR(E149="Stage X",E149="Stage 6",E149="",F149=""),"—",IF(AND(G149&gt;14,OR(E149="Stage 1",E149="Stage 2",E149="Stage 3",E149="Stage 4")),"🔴 AGED",IF(AND(G149&gt;7,OR(E149="Stage 2",E149="Stage 3",E149="Stage 4")),"🟡 WATCH","—")))</f>
        <v/>
      </c>
      <c r="I149" s="21" t="n"/>
      <c r="J149" s="20" t="n"/>
    </row>
    <row r="150" ht="18" customHeight="1">
      <c r="A150" s="20" t="n"/>
      <c r="B150" s="20" t="n"/>
      <c r="C150" s="20" t="n"/>
      <c r="D150" s="20" t="n"/>
      <c r="E150" s="20" t="n"/>
      <c r="F150" s="21" t="n"/>
      <c r="G150" s="24">
        <f>IF(F150="","",TODAY()-F150)</f>
        <v/>
      </c>
      <c r="H150" s="25">
        <f>IF(OR(E150="Stage X",E150="Stage 6",E150="",F150=""),"—",IF(AND(G150&gt;14,OR(E150="Stage 1",E150="Stage 2",E150="Stage 3",E150="Stage 4")),"🔴 AGED",IF(AND(G150&gt;7,OR(E150="Stage 2",E150="Stage 3",E150="Stage 4")),"🟡 WATCH","—")))</f>
        <v/>
      </c>
      <c r="I150" s="21" t="n"/>
      <c r="J150" s="20" t="n"/>
    </row>
    <row r="151" ht="18" customHeight="1">
      <c r="A151" s="20" t="n"/>
      <c r="B151" s="20" t="n"/>
      <c r="C151" s="20" t="n"/>
      <c r="D151" s="20" t="n"/>
      <c r="E151" s="20" t="n"/>
      <c r="F151" s="21" t="n"/>
      <c r="G151" s="24">
        <f>IF(F151="","",TODAY()-F151)</f>
        <v/>
      </c>
      <c r="H151" s="25">
        <f>IF(OR(E151="Stage X",E151="Stage 6",E151="",F151=""),"—",IF(AND(G151&gt;14,OR(E151="Stage 1",E151="Stage 2",E151="Stage 3",E151="Stage 4")),"🔴 AGED",IF(AND(G151&gt;7,OR(E151="Stage 2",E151="Stage 3",E151="Stage 4")),"🟡 WATCH","—")))</f>
        <v/>
      </c>
      <c r="I151" s="21" t="n"/>
      <c r="J151" s="20" t="n"/>
    </row>
    <row r="152" ht="18" customHeight="1">
      <c r="A152" s="20" t="n"/>
      <c r="B152" s="20" t="n"/>
      <c r="C152" s="20" t="n"/>
      <c r="D152" s="20" t="n"/>
      <c r="E152" s="20" t="n"/>
      <c r="F152" s="21" t="n"/>
      <c r="G152" s="24">
        <f>IF(F152="","",TODAY()-F152)</f>
        <v/>
      </c>
      <c r="H152" s="25">
        <f>IF(OR(E152="Stage X",E152="Stage 6",E152="",F152=""),"—",IF(AND(G152&gt;14,OR(E152="Stage 1",E152="Stage 2",E152="Stage 3",E152="Stage 4")),"🔴 AGED",IF(AND(G152&gt;7,OR(E152="Stage 2",E152="Stage 3",E152="Stage 4")),"🟡 WATCH","—")))</f>
        <v/>
      </c>
      <c r="I152" s="21" t="n"/>
      <c r="J152" s="20" t="n"/>
    </row>
    <row r="153" ht="18" customHeight="1">
      <c r="A153" s="20" t="n"/>
      <c r="B153" s="20" t="n"/>
      <c r="C153" s="20" t="n"/>
      <c r="D153" s="20" t="n"/>
      <c r="E153" s="20" t="n"/>
      <c r="F153" s="21" t="n"/>
      <c r="G153" s="24">
        <f>IF(F153="","",TODAY()-F153)</f>
        <v/>
      </c>
      <c r="H153" s="25">
        <f>IF(OR(E153="Stage X",E153="Stage 6",E153="",F153=""),"—",IF(AND(G153&gt;14,OR(E153="Stage 1",E153="Stage 2",E153="Stage 3",E153="Stage 4")),"🔴 AGED",IF(AND(G153&gt;7,OR(E153="Stage 2",E153="Stage 3",E153="Stage 4")),"🟡 WATCH","—")))</f>
        <v/>
      </c>
      <c r="I153" s="21" t="n"/>
      <c r="J153" s="20" t="n"/>
    </row>
    <row r="154" ht="18" customHeight="1">
      <c r="A154" s="20" t="n"/>
      <c r="B154" s="20" t="n"/>
      <c r="C154" s="20" t="n"/>
      <c r="D154" s="20" t="n"/>
      <c r="E154" s="20" t="n"/>
      <c r="F154" s="21" t="n"/>
      <c r="G154" s="24">
        <f>IF(F154="","",TODAY()-F154)</f>
        <v/>
      </c>
      <c r="H154" s="25">
        <f>IF(OR(E154="Stage X",E154="Stage 6",E154="",F154=""),"—",IF(AND(G154&gt;14,OR(E154="Stage 1",E154="Stage 2",E154="Stage 3",E154="Stage 4")),"🔴 AGED",IF(AND(G154&gt;7,OR(E154="Stage 2",E154="Stage 3",E154="Stage 4")),"🟡 WATCH","—")))</f>
        <v/>
      </c>
      <c r="I154" s="21" t="n"/>
      <c r="J154" s="20" t="n"/>
    </row>
    <row r="155" ht="18" customHeight="1">
      <c r="A155" s="20" t="n"/>
      <c r="B155" s="20" t="n"/>
      <c r="C155" s="20" t="n"/>
      <c r="D155" s="20" t="n"/>
      <c r="E155" s="20" t="n"/>
      <c r="F155" s="21" t="n"/>
      <c r="G155" s="24">
        <f>IF(F155="","",TODAY()-F155)</f>
        <v/>
      </c>
      <c r="H155" s="25">
        <f>IF(OR(E155="Stage X",E155="Stage 6",E155="",F155=""),"—",IF(AND(G155&gt;14,OR(E155="Stage 1",E155="Stage 2",E155="Stage 3",E155="Stage 4")),"🔴 AGED",IF(AND(G155&gt;7,OR(E155="Stage 2",E155="Stage 3",E155="Stage 4")),"🟡 WATCH","—")))</f>
        <v/>
      </c>
      <c r="I155" s="21" t="n"/>
      <c r="J155" s="20" t="n"/>
    </row>
    <row r="156" ht="18" customHeight="1">
      <c r="A156" s="20" t="n"/>
      <c r="B156" s="20" t="n"/>
      <c r="C156" s="20" t="n"/>
      <c r="D156" s="20" t="n"/>
      <c r="E156" s="20" t="n"/>
      <c r="F156" s="21" t="n"/>
      <c r="G156" s="24">
        <f>IF(F156="","",TODAY()-F156)</f>
        <v/>
      </c>
      <c r="H156" s="25">
        <f>IF(OR(E156="Stage X",E156="Stage 6",E156="",F156=""),"—",IF(AND(G156&gt;14,OR(E156="Stage 1",E156="Stage 2",E156="Stage 3",E156="Stage 4")),"🔴 AGED",IF(AND(G156&gt;7,OR(E156="Stage 2",E156="Stage 3",E156="Stage 4")),"🟡 WATCH","—")))</f>
        <v/>
      </c>
      <c r="I156" s="21" t="n"/>
      <c r="J156" s="20" t="n"/>
    </row>
    <row r="157" ht="18" customHeight="1">
      <c r="A157" s="20" t="n"/>
      <c r="B157" s="20" t="n"/>
      <c r="C157" s="20" t="n"/>
      <c r="D157" s="20" t="n"/>
      <c r="E157" s="20" t="n"/>
      <c r="F157" s="21" t="n"/>
      <c r="G157" s="24">
        <f>IF(F157="","",TODAY()-F157)</f>
        <v/>
      </c>
      <c r="H157" s="25">
        <f>IF(OR(E157="Stage X",E157="Stage 6",E157="",F157=""),"—",IF(AND(G157&gt;14,OR(E157="Stage 1",E157="Stage 2",E157="Stage 3",E157="Stage 4")),"🔴 AGED",IF(AND(G157&gt;7,OR(E157="Stage 2",E157="Stage 3",E157="Stage 4")),"🟡 WATCH","—")))</f>
        <v/>
      </c>
      <c r="I157" s="21" t="n"/>
      <c r="J157" s="20" t="n"/>
    </row>
    <row r="158" ht="18" customHeight="1">
      <c r="A158" s="20" t="n"/>
      <c r="B158" s="20" t="n"/>
      <c r="C158" s="20" t="n"/>
      <c r="D158" s="20" t="n"/>
      <c r="E158" s="20" t="n"/>
      <c r="F158" s="21" t="n"/>
      <c r="G158" s="24">
        <f>IF(F158="","",TODAY()-F158)</f>
        <v/>
      </c>
      <c r="H158" s="25">
        <f>IF(OR(E158="Stage X",E158="Stage 6",E158="",F158=""),"—",IF(AND(G158&gt;14,OR(E158="Stage 1",E158="Stage 2",E158="Stage 3",E158="Stage 4")),"🔴 AGED",IF(AND(G158&gt;7,OR(E158="Stage 2",E158="Stage 3",E158="Stage 4")),"🟡 WATCH","—")))</f>
        <v/>
      </c>
      <c r="I158" s="21" t="n"/>
      <c r="J158" s="20" t="n"/>
    </row>
    <row r="159" ht="18" customHeight="1">
      <c r="A159" s="20" t="n"/>
      <c r="B159" s="20" t="n"/>
      <c r="C159" s="20" t="n"/>
      <c r="D159" s="20" t="n"/>
      <c r="E159" s="20" t="n"/>
      <c r="F159" s="21" t="n"/>
      <c r="G159" s="24">
        <f>IF(F159="","",TODAY()-F159)</f>
        <v/>
      </c>
      <c r="H159" s="25">
        <f>IF(OR(E159="Stage X",E159="Stage 6",E159="",F159=""),"—",IF(AND(G159&gt;14,OR(E159="Stage 1",E159="Stage 2",E159="Stage 3",E159="Stage 4")),"🔴 AGED",IF(AND(G159&gt;7,OR(E159="Stage 2",E159="Stage 3",E159="Stage 4")),"🟡 WATCH","—")))</f>
        <v/>
      </c>
      <c r="I159" s="21" t="n"/>
      <c r="J159" s="20" t="n"/>
    </row>
    <row r="160" ht="18" customHeight="1">
      <c r="A160" s="20" t="n"/>
      <c r="B160" s="20" t="n"/>
      <c r="C160" s="20" t="n"/>
      <c r="D160" s="20" t="n"/>
      <c r="E160" s="20" t="n"/>
      <c r="F160" s="21" t="n"/>
      <c r="G160" s="24">
        <f>IF(F160="","",TODAY()-F160)</f>
        <v/>
      </c>
      <c r="H160" s="25">
        <f>IF(OR(E160="Stage X",E160="Stage 6",E160="",F160=""),"—",IF(AND(G160&gt;14,OR(E160="Stage 1",E160="Stage 2",E160="Stage 3",E160="Stage 4")),"🔴 AGED",IF(AND(G160&gt;7,OR(E160="Stage 2",E160="Stage 3",E160="Stage 4")),"🟡 WATCH","—")))</f>
        <v/>
      </c>
      <c r="I160" s="21" t="n"/>
      <c r="J160" s="20" t="n"/>
    </row>
    <row r="161" ht="18" customHeight="1">
      <c r="A161" s="20" t="n"/>
      <c r="B161" s="20" t="n"/>
      <c r="C161" s="20" t="n"/>
      <c r="D161" s="20" t="n"/>
      <c r="E161" s="20" t="n"/>
      <c r="F161" s="21" t="n"/>
      <c r="G161" s="24">
        <f>IF(F161="","",TODAY()-F161)</f>
        <v/>
      </c>
      <c r="H161" s="25">
        <f>IF(OR(E161="Stage X",E161="Stage 6",E161="",F161=""),"—",IF(AND(G161&gt;14,OR(E161="Stage 1",E161="Stage 2",E161="Stage 3",E161="Stage 4")),"🔴 AGED",IF(AND(G161&gt;7,OR(E161="Stage 2",E161="Stage 3",E161="Stage 4")),"🟡 WATCH","—")))</f>
        <v/>
      </c>
      <c r="I161" s="21" t="n"/>
      <c r="J161" s="20" t="n"/>
    </row>
    <row r="162" ht="18" customHeight="1">
      <c r="A162" s="20" t="n"/>
      <c r="B162" s="20" t="n"/>
      <c r="C162" s="20" t="n"/>
      <c r="D162" s="20" t="n"/>
      <c r="E162" s="20" t="n"/>
      <c r="F162" s="21" t="n"/>
      <c r="G162" s="24">
        <f>IF(F162="","",TODAY()-F162)</f>
        <v/>
      </c>
      <c r="H162" s="25">
        <f>IF(OR(E162="Stage X",E162="Stage 6",E162="",F162=""),"—",IF(AND(G162&gt;14,OR(E162="Stage 1",E162="Stage 2",E162="Stage 3",E162="Stage 4")),"🔴 AGED",IF(AND(G162&gt;7,OR(E162="Stage 2",E162="Stage 3",E162="Stage 4")),"🟡 WATCH","—")))</f>
        <v/>
      </c>
      <c r="I162" s="21" t="n"/>
      <c r="J162" s="20" t="n"/>
    </row>
    <row r="163" ht="18" customHeight="1">
      <c r="A163" s="20" t="n"/>
      <c r="B163" s="20" t="n"/>
      <c r="C163" s="20" t="n"/>
      <c r="D163" s="20" t="n"/>
      <c r="E163" s="20" t="n"/>
      <c r="F163" s="21" t="n"/>
      <c r="G163" s="24">
        <f>IF(F163="","",TODAY()-F163)</f>
        <v/>
      </c>
      <c r="H163" s="25">
        <f>IF(OR(E163="Stage X",E163="Stage 6",E163="",F163=""),"—",IF(AND(G163&gt;14,OR(E163="Stage 1",E163="Stage 2",E163="Stage 3",E163="Stage 4")),"🔴 AGED",IF(AND(G163&gt;7,OR(E163="Stage 2",E163="Stage 3",E163="Stage 4")),"🟡 WATCH","—")))</f>
        <v/>
      </c>
      <c r="I163" s="21" t="n"/>
      <c r="J163" s="20" t="n"/>
    </row>
    <row r="164" ht="18" customHeight="1">
      <c r="A164" s="20" t="n"/>
      <c r="B164" s="20" t="n"/>
      <c r="C164" s="20" t="n"/>
      <c r="D164" s="20" t="n"/>
      <c r="E164" s="20" t="n"/>
      <c r="F164" s="21" t="n"/>
      <c r="G164" s="24">
        <f>IF(F164="","",TODAY()-F164)</f>
        <v/>
      </c>
      <c r="H164" s="25">
        <f>IF(OR(E164="Stage X",E164="Stage 6",E164="",F164=""),"—",IF(AND(G164&gt;14,OR(E164="Stage 1",E164="Stage 2",E164="Stage 3",E164="Stage 4")),"🔴 AGED",IF(AND(G164&gt;7,OR(E164="Stage 2",E164="Stage 3",E164="Stage 4")),"🟡 WATCH","—")))</f>
        <v/>
      </c>
      <c r="I164" s="21" t="n"/>
      <c r="J164" s="20" t="n"/>
    </row>
    <row r="165" ht="18" customHeight="1">
      <c r="A165" s="20" t="n"/>
      <c r="B165" s="20" t="n"/>
      <c r="C165" s="20" t="n"/>
      <c r="D165" s="20" t="n"/>
      <c r="E165" s="20" t="n"/>
      <c r="F165" s="21" t="n"/>
      <c r="G165" s="24">
        <f>IF(F165="","",TODAY()-F165)</f>
        <v/>
      </c>
      <c r="H165" s="25">
        <f>IF(OR(E165="Stage X",E165="Stage 6",E165="",F165=""),"—",IF(AND(G165&gt;14,OR(E165="Stage 1",E165="Stage 2",E165="Stage 3",E165="Stage 4")),"🔴 AGED",IF(AND(G165&gt;7,OR(E165="Stage 2",E165="Stage 3",E165="Stage 4")),"🟡 WATCH","—")))</f>
        <v/>
      </c>
      <c r="I165" s="21" t="n"/>
      <c r="J165" s="20" t="n"/>
    </row>
    <row r="166" ht="18" customHeight="1">
      <c r="A166" s="20" t="n"/>
      <c r="B166" s="20" t="n"/>
      <c r="C166" s="20" t="n"/>
      <c r="D166" s="20" t="n"/>
      <c r="E166" s="20" t="n"/>
      <c r="F166" s="21" t="n"/>
      <c r="G166" s="24">
        <f>IF(F166="","",TODAY()-F166)</f>
        <v/>
      </c>
      <c r="H166" s="25">
        <f>IF(OR(E166="Stage X",E166="Stage 6",E166="",F166=""),"—",IF(AND(G166&gt;14,OR(E166="Stage 1",E166="Stage 2",E166="Stage 3",E166="Stage 4")),"🔴 AGED",IF(AND(G166&gt;7,OR(E166="Stage 2",E166="Stage 3",E166="Stage 4")),"🟡 WATCH","—")))</f>
        <v/>
      </c>
      <c r="I166" s="21" t="n"/>
      <c r="J166" s="20" t="n"/>
    </row>
    <row r="167" ht="18" customHeight="1">
      <c r="A167" s="20" t="n"/>
      <c r="B167" s="20" t="n"/>
      <c r="C167" s="20" t="n"/>
      <c r="D167" s="20" t="n"/>
      <c r="E167" s="20" t="n"/>
      <c r="F167" s="21" t="n"/>
      <c r="G167" s="24">
        <f>IF(F167="","",TODAY()-F167)</f>
        <v/>
      </c>
      <c r="H167" s="25">
        <f>IF(OR(E167="Stage X",E167="Stage 6",E167="",F167=""),"—",IF(AND(G167&gt;14,OR(E167="Stage 1",E167="Stage 2",E167="Stage 3",E167="Stage 4")),"🔴 AGED",IF(AND(G167&gt;7,OR(E167="Stage 2",E167="Stage 3",E167="Stage 4")),"🟡 WATCH","—")))</f>
        <v/>
      </c>
      <c r="I167" s="21" t="n"/>
      <c r="J167" s="20" t="n"/>
    </row>
    <row r="168" ht="18" customHeight="1">
      <c r="A168" s="20" t="n"/>
      <c r="B168" s="20" t="n"/>
      <c r="C168" s="20" t="n"/>
      <c r="D168" s="20" t="n"/>
      <c r="E168" s="20" t="n"/>
      <c r="F168" s="21" t="n"/>
      <c r="G168" s="24">
        <f>IF(F168="","",TODAY()-F168)</f>
        <v/>
      </c>
      <c r="H168" s="25">
        <f>IF(OR(E168="Stage X",E168="Stage 6",E168="",F168=""),"—",IF(AND(G168&gt;14,OR(E168="Stage 1",E168="Stage 2",E168="Stage 3",E168="Stage 4")),"🔴 AGED",IF(AND(G168&gt;7,OR(E168="Stage 2",E168="Stage 3",E168="Stage 4")),"🟡 WATCH","—")))</f>
        <v/>
      </c>
      <c r="I168" s="21" t="n"/>
      <c r="J168" s="20" t="n"/>
    </row>
    <row r="169" ht="18" customHeight="1">
      <c r="A169" s="20" t="n"/>
      <c r="B169" s="20" t="n"/>
      <c r="C169" s="20" t="n"/>
      <c r="D169" s="20" t="n"/>
      <c r="E169" s="20" t="n"/>
      <c r="F169" s="21" t="n"/>
      <c r="G169" s="24">
        <f>IF(F169="","",TODAY()-F169)</f>
        <v/>
      </c>
      <c r="H169" s="25">
        <f>IF(OR(E169="Stage X",E169="Stage 6",E169="",F169=""),"—",IF(AND(G169&gt;14,OR(E169="Stage 1",E169="Stage 2",E169="Stage 3",E169="Stage 4")),"🔴 AGED",IF(AND(G169&gt;7,OR(E169="Stage 2",E169="Stage 3",E169="Stage 4")),"🟡 WATCH","—")))</f>
        <v/>
      </c>
      <c r="I169" s="21" t="n"/>
      <c r="J169" s="20" t="n"/>
    </row>
    <row r="170" ht="18" customHeight="1">
      <c r="A170" s="20" t="n"/>
      <c r="B170" s="20" t="n"/>
      <c r="C170" s="20" t="n"/>
      <c r="D170" s="20" t="n"/>
      <c r="E170" s="20" t="n"/>
      <c r="F170" s="21" t="n"/>
      <c r="G170" s="24">
        <f>IF(F170="","",TODAY()-F170)</f>
        <v/>
      </c>
      <c r="H170" s="25">
        <f>IF(OR(E170="Stage X",E170="Stage 6",E170="",F170=""),"—",IF(AND(G170&gt;14,OR(E170="Stage 1",E170="Stage 2",E170="Stage 3",E170="Stage 4")),"🔴 AGED",IF(AND(G170&gt;7,OR(E170="Stage 2",E170="Stage 3",E170="Stage 4")),"🟡 WATCH","—")))</f>
        <v/>
      </c>
      <c r="I170" s="21" t="n"/>
      <c r="J170" s="20" t="n"/>
    </row>
    <row r="171" ht="18" customHeight="1">
      <c r="A171" s="20" t="n"/>
      <c r="B171" s="20" t="n"/>
      <c r="C171" s="20" t="n"/>
      <c r="D171" s="20" t="n"/>
      <c r="E171" s="20" t="n"/>
      <c r="F171" s="21" t="n"/>
      <c r="G171" s="24">
        <f>IF(F171="","",TODAY()-F171)</f>
        <v/>
      </c>
      <c r="H171" s="25">
        <f>IF(OR(E171="Stage X",E171="Stage 6",E171="",F171=""),"—",IF(AND(G171&gt;14,OR(E171="Stage 1",E171="Stage 2",E171="Stage 3",E171="Stage 4")),"🔴 AGED",IF(AND(G171&gt;7,OR(E171="Stage 2",E171="Stage 3",E171="Stage 4")),"🟡 WATCH","—")))</f>
        <v/>
      </c>
      <c r="I171" s="21" t="n"/>
      <c r="J171" s="20" t="n"/>
    </row>
    <row r="172" ht="18" customHeight="1">
      <c r="A172" s="20" t="n"/>
      <c r="B172" s="20" t="n"/>
      <c r="C172" s="20" t="n"/>
      <c r="D172" s="20" t="n"/>
      <c r="E172" s="20" t="n"/>
      <c r="F172" s="21" t="n"/>
      <c r="G172" s="24">
        <f>IF(F172="","",TODAY()-F172)</f>
        <v/>
      </c>
      <c r="H172" s="25">
        <f>IF(OR(E172="Stage X",E172="Stage 6",E172="",F172=""),"—",IF(AND(G172&gt;14,OR(E172="Stage 1",E172="Stage 2",E172="Stage 3",E172="Stage 4")),"🔴 AGED",IF(AND(G172&gt;7,OR(E172="Stage 2",E172="Stage 3",E172="Stage 4")),"🟡 WATCH","—")))</f>
        <v/>
      </c>
      <c r="I172" s="21" t="n"/>
      <c r="J172" s="20" t="n"/>
    </row>
    <row r="173" ht="18" customHeight="1">
      <c r="A173" s="20" t="n"/>
      <c r="B173" s="20" t="n"/>
      <c r="C173" s="20" t="n"/>
      <c r="D173" s="20" t="n"/>
      <c r="E173" s="20" t="n"/>
      <c r="F173" s="21" t="n"/>
      <c r="G173" s="24">
        <f>IF(F173="","",TODAY()-F173)</f>
        <v/>
      </c>
      <c r="H173" s="25">
        <f>IF(OR(E173="Stage X",E173="Stage 6",E173="",F173=""),"—",IF(AND(G173&gt;14,OR(E173="Stage 1",E173="Stage 2",E173="Stage 3",E173="Stage 4")),"🔴 AGED",IF(AND(G173&gt;7,OR(E173="Stage 2",E173="Stage 3",E173="Stage 4")),"🟡 WATCH","—")))</f>
        <v/>
      </c>
      <c r="I173" s="21" t="n"/>
      <c r="J173" s="20" t="n"/>
    </row>
    <row r="174" ht="18" customHeight="1">
      <c r="A174" s="20" t="n"/>
      <c r="B174" s="20" t="n"/>
      <c r="C174" s="20" t="n"/>
      <c r="D174" s="20" t="n"/>
      <c r="E174" s="20" t="n"/>
      <c r="F174" s="21" t="n"/>
      <c r="G174" s="24">
        <f>IF(F174="","",TODAY()-F174)</f>
        <v/>
      </c>
      <c r="H174" s="25">
        <f>IF(OR(E174="Stage X",E174="Stage 6",E174="",F174=""),"—",IF(AND(G174&gt;14,OR(E174="Stage 1",E174="Stage 2",E174="Stage 3",E174="Stage 4")),"🔴 AGED",IF(AND(G174&gt;7,OR(E174="Stage 2",E174="Stage 3",E174="Stage 4")),"🟡 WATCH","—")))</f>
        <v/>
      </c>
      <c r="I174" s="21" t="n"/>
      <c r="J174" s="20" t="n"/>
    </row>
    <row r="175" ht="18" customHeight="1">
      <c r="A175" s="20" t="n"/>
      <c r="B175" s="20" t="n"/>
      <c r="C175" s="20" t="n"/>
      <c r="D175" s="20" t="n"/>
      <c r="E175" s="20" t="n"/>
      <c r="F175" s="21" t="n"/>
      <c r="G175" s="24">
        <f>IF(F175="","",TODAY()-F175)</f>
        <v/>
      </c>
      <c r="H175" s="25">
        <f>IF(OR(E175="Stage X",E175="Stage 6",E175="",F175=""),"—",IF(AND(G175&gt;14,OR(E175="Stage 1",E175="Stage 2",E175="Stage 3",E175="Stage 4")),"🔴 AGED",IF(AND(G175&gt;7,OR(E175="Stage 2",E175="Stage 3",E175="Stage 4")),"🟡 WATCH","—")))</f>
        <v/>
      </c>
      <c r="I175" s="21" t="n"/>
      <c r="J175" s="20" t="n"/>
    </row>
    <row r="176" ht="18" customHeight="1">
      <c r="A176" s="20" t="n"/>
      <c r="B176" s="20" t="n"/>
      <c r="C176" s="20" t="n"/>
      <c r="D176" s="20" t="n"/>
      <c r="E176" s="20" t="n"/>
      <c r="F176" s="21" t="n"/>
      <c r="G176" s="24">
        <f>IF(F176="","",TODAY()-F176)</f>
        <v/>
      </c>
      <c r="H176" s="25">
        <f>IF(OR(E176="Stage X",E176="Stage 6",E176="",F176=""),"—",IF(AND(G176&gt;14,OR(E176="Stage 1",E176="Stage 2",E176="Stage 3",E176="Stage 4")),"🔴 AGED",IF(AND(G176&gt;7,OR(E176="Stage 2",E176="Stage 3",E176="Stage 4")),"🟡 WATCH","—")))</f>
        <v/>
      </c>
      <c r="I176" s="21" t="n"/>
      <c r="J176" s="20" t="n"/>
    </row>
    <row r="177" ht="18" customHeight="1">
      <c r="A177" s="20" t="n"/>
      <c r="B177" s="20" t="n"/>
      <c r="C177" s="20" t="n"/>
      <c r="D177" s="20" t="n"/>
      <c r="E177" s="20" t="n"/>
      <c r="F177" s="21" t="n"/>
      <c r="G177" s="24">
        <f>IF(F177="","",TODAY()-F177)</f>
        <v/>
      </c>
      <c r="H177" s="25">
        <f>IF(OR(E177="Stage X",E177="Stage 6",E177="",F177=""),"—",IF(AND(G177&gt;14,OR(E177="Stage 1",E177="Stage 2",E177="Stage 3",E177="Stage 4")),"🔴 AGED",IF(AND(G177&gt;7,OR(E177="Stage 2",E177="Stage 3",E177="Stage 4")),"🟡 WATCH","—")))</f>
        <v/>
      </c>
      <c r="I177" s="21" t="n"/>
      <c r="J177" s="20" t="n"/>
    </row>
    <row r="178" ht="18" customHeight="1">
      <c r="A178" s="20" t="n"/>
      <c r="B178" s="20" t="n"/>
      <c r="C178" s="20" t="n"/>
      <c r="D178" s="20" t="n"/>
      <c r="E178" s="20" t="n"/>
      <c r="F178" s="21" t="n"/>
      <c r="G178" s="24">
        <f>IF(F178="","",TODAY()-F178)</f>
        <v/>
      </c>
      <c r="H178" s="25">
        <f>IF(OR(E178="Stage X",E178="Stage 6",E178="",F178=""),"—",IF(AND(G178&gt;14,OR(E178="Stage 1",E178="Stage 2",E178="Stage 3",E178="Stage 4")),"🔴 AGED",IF(AND(G178&gt;7,OR(E178="Stage 2",E178="Stage 3",E178="Stage 4")),"🟡 WATCH","—")))</f>
        <v/>
      </c>
      <c r="I178" s="21" t="n"/>
      <c r="J178" s="20" t="n"/>
    </row>
    <row r="179" ht="18" customHeight="1">
      <c r="A179" s="20" t="n"/>
      <c r="B179" s="20" t="n"/>
      <c r="C179" s="20" t="n"/>
      <c r="D179" s="20" t="n"/>
      <c r="E179" s="20" t="n"/>
      <c r="F179" s="21" t="n"/>
      <c r="G179" s="24">
        <f>IF(F179="","",TODAY()-F179)</f>
        <v/>
      </c>
      <c r="H179" s="25">
        <f>IF(OR(E179="Stage X",E179="Stage 6",E179="",F179=""),"—",IF(AND(G179&gt;14,OR(E179="Stage 1",E179="Stage 2",E179="Stage 3",E179="Stage 4")),"🔴 AGED",IF(AND(G179&gt;7,OR(E179="Stage 2",E179="Stage 3",E179="Stage 4")),"🟡 WATCH","—")))</f>
        <v/>
      </c>
      <c r="I179" s="21" t="n"/>
      <c r="J179" s="20" t="n"/>
    </row>
    <row r="180" ht="18" customHeight="1">
      <c r="A180" s="20" t="n"/>
      <c r="B180" s="20" t="n"/>
      <c r="C180" s="20" t="n"/>
      <c r="D180" s="20" t="n"/>
      <c r="E180" s="20" t="n"/>
      <c r="F180" s="21" t="n"/>
      <c r="G180" s="24">
        <f>IF(F180="","",TODAY()-F180)</f>
        <v/>
      </c>
      <c r="H180" s="25">
        <f>IF(OR(E180="Stage X",E180="Stage 6",E180="",F180=""),"—",IF(AND(G180&gt;14,OR(E180="Stage 1",E180="Stage 2",E180="Stage 3",E180="Stage 4")),"🔴 AGED",IF(AND(G180&gt;7,OR(E180="Stage 2",E180="Stage 3",E180="Stage 4")),"🟡 WATCH","—")))</f>
        <v/>
      </c>
      <c r="I180" s="21" t="n"/>
      <c r="J180" s="20" t="n"/>
    </row>
    <row r="181" ht="18" customHeight="1">
      <c r="A181" s="20" t="n"/>
      <c r="B181" s="20" t="n"/>
      <c r="C181" s="20" t="n"/>
      <c r="D181" s="20" t="n"/>
      <c r="E181" s="20" t="n"/>
      <c r="F181" s="21" t="n"/>
      <c r="G181" s="24">
        <f>IF(F181="","",TODAY()-F181)</f>
        <v/>
      </c>
      <c r="H181" s="25">
        <f>IF(OR(E181="Stage X",E181="Stage 6",E181="",F181=""),"—",IF(AND(G181&gt;14,OR(E181="Stage 1",E181="Stage 2",E181="Stage 3",E181="Stage 4")),"🔴 AGED",IF(AND(G181&gt;7,OR(E181="Stage 2",E181="Stage 3",E181="Stage 4")),"🟡 WATCH","—")))</f>
        <v/>
      </c>
      <c r="I181" s="21" t="n"/>
      <c r="J181" s="20" t="n"/>
    </row>
    <row r="182" ht="18" customHeight="1">
      <c r="A182" s="20" t="n"/>
      <c r="B182" s="20" t="n"/>
      <c r="C182" s="20" t="n"/>
      <c r="D182" s="20" t="n"/>
      <c r="E182" s="20" t="n"/>
      <c r="F182" s="21" t="n"/>
      <c r="G182" s="24">
        <f>IF(F182="","",TODAY()-F182)</f>
        <v/>
      </c>
      <c r="H182" s="25">
        <f>IF(OR(E182="Stage X",E182="Stage 6",E182="",F182=""),"—",IF(AND(G182&gt;14,OR(E182="Stage 1",E182="Stage 2",E182="Stage 3",E182="Stage 4")),"🔴 AGED",IF(AND(G182&gt;7,OR(E182="Stage 2",E182="Stage 3",E182="Stage 4")),"🟡 WATCH","—")))</f>
        <v/>
      </c>
      <c r="I182" s="21" t="n"/>
      <c r="J182" s="20" t="n"/>
    </row>
    <row r="183" ht="18" customHeight="1">
      <c r="A183" s="20" t="n"/>
      <c r="B183" s="20" t="n"/>
      <c r="C183" s="20" t="n"/>
      <c r="D183" s="20" t="n"/>
      <c r="E183" s="20" t="n"/>
      <c r="F183" s="21" t="n"/>
      <c r="G183" s="24">
        <f>IF(F183="","",TODAY()-F183)</f>
        <v/>
      </c>
      <c r="H183" s="25">
        <f>IF(OR(E183="Stage X",E183="Stage 6",E183="",F183=""),"—",IF(AND(G183&gt;14,OR(E183="Stage 1",E183="Stage 2",E183="Stage 3",E183="Stage 4")),"🔴 AGED",IF(AND(G183&gt;7,OR(E183="Stage 2",E183="Stage 3",E183="Stage 4")),"🟡 WATCH","—")))</f>
        <v/>
      </c>
      <c r="I183" s="21" t="n"/>
      <c r="J183" s="20" t="n"/>
    </row>
    <row r="184" ht="18" customHeight="1">
      <c r="A184" s="20" t="n"/>
      <c r="B184" s="20" t="n"/>
      <c r="C184" s="20" t="n"/>
      <c r="D184" s="20" t="n"/>
      <c r="E184" s="20" t="n"/>
      <c r="F184" s="21" t="n"/>
      <c r="G184" s="24">
        <f>IF(F184="","",TODAY()-F184)</f>
        <v/>
      </c>
      <c r="H184" s="25">
        <f>IF(OR(E184="Stage X",E184="Stage 6",E184="",F184=""),"—",IF(AND(G184&gt;14,OR(E184="Stage 1",E184="Stage 2",E184="Stage 3",E184="Stage 4")),"🔴 AGED",IF(AND(G184&gt;7,OR(E184="Stage 2",E184="Stage 3",E184="Stage 4")),"🟡 WATCH","—")))</f>
        <v/>
      </c>
      <c r="I184" s="21" t="n"/>
      <c r="J184" s="20" t="n"/>
    </row>
    <row r="185" ht="18" customHeight="1">
      <c r="A185" s="20" t="n"/>
      <c r="B185" s="20" t="n"/>
      <c r="C185" s="20" t="n"/>
      <c r="D185" s="20" t="n"/>
      <c r="E185" s="20" t="n"/>
      <c r="F185" s="21" t="n"/>
      <c r="G185" s="24">
        <f>IF(F185="","",TODAY()-F185)</f>
        <v/>
      </c>
      <c r="H185" s="25">
        <f>IF(OR(E185="Stage X",E185="Stage 6",E185="",F185=""),"—",IF(AND(G185&gt;14,OR(E185="Stage 1",E185="Stage 2",E185="Stage 3",E185="Stage 4")),"🔴 AGED",IF(AND(G185&gt;7,OR(E185="Stage 2",E185="Stage 3",E185="Stage 4")),"🟡 WATCH","—")))</f>
        <v/>
      </c>
      <c r="I185" s="21" t="n"/>
      <c r="J185" s="20" t="n"/>
    </row>
    <row r="186" ht="18" customHeight="1">
      <c r="A186" s="20" t="n"/>
      <c r="B186" s="20" t="n"/>
      <c r="C186" s="20" t="n"/>
      <c r="D186" s="20" t="n"/>
      <c r="E186" s="20" t="n"/>
      <c r="F186" s="21" t="n"/>
      <c r="G186" s="24">
        <f>IF(F186="","",TODAY()-F186)</f>
        <v/>
      </c>
      <c r="H186" s="25">
        <f>IF(OR(E186="Stage X",E186="Stage 6",E186="",F186=""),"—",IF(AND(G186&gt;14,OR(E186="Stage 1",E186="Stage 2",E186="Stage 3",E186="Stage 4")),"🔴 AGED",IF(AND(G186&gt;7,OR(E186="Stage 2",E186="Stage 3",E186="Stage 4")),"🟡 WATCH","—")))</f>
        <v/>
      </c>
      <c r="I186" s="21" t="n"/>
      <c r="J186" s="20" t="n"/>
    </row>
    <row r="187" ht="18" customHeight="1">
      <c r="A187" s="20" t="n"/>
      <c r="B187" s="20" t="n"/>
      <c r="C187" s="20" t="n"/>
      <c r="D187" s="20" t="n"/>
      <c r="E187" s="20" t="n"/>
      <c r="F187" s="21" t="n"/>
      <c r="G187" s="24">
        <f>IF(F187="","",TODAY()-F187)</f>
        <v/>
      </c>
      <c r="H187" s="25">
        <f>IF(OR(E187="Stage X",E187="Stage 6",E187="",F187=""),"—",IF(AND(G187&gt;14,OR(E187="Stage 1",E187="Stage 2",E187="Stage 3",E187="Stage 4")),"🔴 AGED",IF(AND(G187&gt;7,OR(E187="Stage 2",E187="Stage 3",E187="Stage 4")),"🟡 WATCH","—")))</f>
        <v/>
      </c>
      <c r="I187" s="21" t="n"/>
      <c r="J187" s="20" t="n"/>
    </row>
    <row r="188" ht="18" customHeight="1">
      <c r="A188" s="20" t="n"/>
      <c r="B188" s="20" t="n"/>
      <c r="C188" s="20" t="n"/>
      <c r="D188" s="20" t="n"/>
      <c r="E188" s="20" t="n"/>
      <c r="F188" s="21" t="n"/>
      <c r="G188" s="24">
        <f>IF(F188="","",TODAY()-F188)</f>
        <v/>
      </c>
      <c r="H188" s="25">
        <f>IF(OR(E188="Stage X",E188="Stage 6",E188="",F188=""),"—",IF(AND(G188&gt;14,OR(E188="Stage 1",E188="Stage 2",E188="Stage 3",E188="Stage 4")),"🔴 AGED",IF(AND(G188&gt;7,OR(E188="Stage 2",E188="Stage 3",E188="Stage 4")),"🟡 WATCH","—")))</f>
        <v/>
      </c>
      <c r="I188" s="21" t="n"/>
      <c r="J188" s="20" t="n"/>
    </row>
    <row r="189" ht="18" customHeight="1">
      <c r="A189" s="20" t="n"/>
      <c r="B189" s="20" t="n"/>
      <c r="C189" s="20" t="n"/>
      <c r="D189" s="20" t="n"/>
      <c r="E189" s="20" t="n"/>
      <c r="F189" s="21" t="n"/>
      <c r="G189" s="24">
        <f>IF(F189="","",TODAY()-F189)</f>
        <v/>
      </c>
      <c r="H189" s="25">
        <f>IF(OR(E189="Stage X",E189="Stage 6",E189="",F189=""),"—",IF(AND(G189&gt;14,OR(E189="Stage 1",E189="Stage 2",E189="Stage 3",E189="Stage 4")),"🔴 AGED",IF(AND(G189&gt;7,OR(E189="Stage 2",E189="Stage 3",E189="Stage 4")),"🟡 WATCH","—")))</f>
        <v/>
      </c>
      <c r="I189" s="21" t="n"/>
      <c r="J189" s="20" t="n"/>
    </row>
    <row r="190" ht="18" customHeight="1">
      <c r="A190" s="20" t="n"/>
      <c r="B190" s="20" t="n"/>
      <c r="C190" s="20" t="n"/>
      <c r="D190" s="20" t="n"/>
      <c r="E190" s="20" t="n"/>
      <c r="F190" s="21" t="n"/>
      <c r="G190" s="24">
        <f>IF(F190="","",TODAY()-F190)</f>
        <v/>
      </c>
      <c r="H190" s="25">
        <f>IF(OR(E190="Stage X",E190="Stage 6",E190="",F190=""),"—",IF(AND(G190&gt;14,OR(E190="Stage 1",E190="Stage 2",E190="Stage 3",E190="Stage 4")),"🔴 AGED",IF(AND(G190&gt;7,OR(E190="Stage 2",E190="Stage 3",E190="Stage 4")),"🟡 WATCH","—")))</f>
        <v/>
      </c>
      <c r="I190" s="21" t="n"/>
      <c r="J190" s="20" t="n"/>
    </row>
    <row r="191" ht="18" customHeight="1">
      <c r="A191" s="20" t="n"/>
      <c r="B191" s="20" t="n"/>
      <c r="C191" s="20" t="n"/>
      <c r="D191" s="20" t="n"/>
      <c r="E191" s="20" t="n"/>
      <c r="F191" s="21" t="n"/>
      <c r="G191" s="24">
        <f>IF(F191="","",TODAY()-F191)</f>
        <v/>
      </c>
      <c r="H191" s="25">
        <f>IF(OR(E191="Stage X",E191="Stage 6",E191="",F191=""),"—",IF(AND(G191&gt;14,OR(E191="Stage 1",E191="Stage 2",E191="Stage 3",E191="Stage 4")),"🔴 AGED",IF(AND(G191&gt;7,OR(E191="Stage 2",E191="Stage 3",E191="Stage 4")),"🟡 WATCH","—")))</f>
        <v/>
      </c>
      <c r="I191" s="21" t="n"/>
      <c r="J191" s="20" t="n"/>
    </row>
    <row r="192" ht="18" customHeight="1">
      <c r="A192" s="20" t="n"/>
      <c r="B192" s="20" t="n"/>
      <c r="C192" s="20" t="n"/>
      <c r="D192" s="20" t="n"/>
      <c r="E192" s="20" t="n"/>
      <c r="F192" s="21" t="n"/>
      <c r="G192" s="24">
        <f>IF(F192="","",TODAY()-F192)</f>
        <v/>
      </c>
      <c r="H192" s="25">
        <f>IF(OR(E192="Stage X",E192="Stage 6",E192="",F192=""),"—",IF(AND(G192&gt;14,OR(E192="Stage 1",E192="Stage 2",E192="Stage 3",E192="Stage 4")),"🔴 AGED",IF(AND(G192&gt;7,OR(E192="Stage 2",E192="Stage 3",E192="Stage 4")),"🟡 WATCH","—")))</f>
        <v/>
      </c>
      <c r="I192" s="21" t="n"/>
      <c r="J192" s="20" t="n"/>
    </row>
    <row r="193" ht="18" customHeight="1">
      <c r="A193" s="20" t="n"/>
      <c r="B193" s="20" t="n"/>
      <c r="C193" s="20" t="n"/>
      <c r="D193" s="20" t="n"/>
      <c r="E193" s="20" t="n"/>
      <c r="F193" s="21" t="n"/>
      <c r="G193" s="24">
        <f>IF(F193="","",TODAY()-F193)</f>
        <v/>
      </c>
      <c r="H193" s="25">
        <f>IF(OR(E193="Stage X",E193="Stage 6",E193="",F193=""),"—",IF(AND(G193&gt;14,OR(E193="Stage 1",E193="Stage 2",E193="Stage 3",E193="Stage 4")),"🔴 AGED",IF(AND(G193&gt;7,OR(E193="Stage 2",E193="Stage 3",E193="Stage 4")),"🟡 WATCH","—")))</f>
        <v/>
      </c>
      <c r="I193" s="21" t="n"/>
      <c r="J193" s="20" t="n"/>
    </row>
    <row r="194" ht="18" customHeight="1">
      <c r="A194" s="20" t="n"/>
      <c r="B194" s="20" t="n"/>
      <c r="C194" s="20" t="n"/>
      <c r="D194" s="20" t="n"/>
      <c r="E194" s="20" t="n"/>
      <c r="F194" s="21" t="n"/>
      <c r="G194" s="24">
        <f>IF(F194="","",TODAY()-F194)</f>
        <v/>
      </c>
      <c r="H194" s="25">
        <f>IF(OR(E194="Stage X",E194="Stage 6",E194="",F194=""),"—",IF(AND(G194&gt;14,OR(E194="Stage 1",E194="Stage 2",E194="Stage 3",E194="Stage 4")),"🔴 AGED",IF(AND(G194&gt;7,OR(E194="Stage 2",E194="Stage 3",E194="Stage 4")),"🟡 WATCH","—")))</f>
        <v/>
      </c>
      <c r="I194" s="21" t="n"/>
      <c r="J194" s="20" t="n"/>
    </row>
    <row r="195" ht="18" customHeight="1">
      <c r="A195" s="20" t="n"/>
      <c r="B195" s="20" t="n"/>
      <c r="C195" s="20" t="n"/>
      <c r="D195" s="20" t="n"/>
      <c r="E195" s="20" t="n"/>
      <c r="F195" s="21" t="n"/>
      <c r="G195" s="24">
        <f>IF(F195="","",TODAY()-F195)</f>
        <v/>
      </c>
      <c r="H195" s="25">
        <f>IF(OR(E195="Stage X",E195="Stage 6",E195="",F195=""),"—",IF(AND(G195&gt;14,OR(E195="Stage 1",E195="Stage 2",E195="Stage 3",E195="Stage 4")),"🔴 AGED",IF(AND(G195&gt;7,OR(E195="Stage 2",E195="Stage 3",E195="Stage 4")),"🟡 WATCH","—")))</f>
        <v/>
      </c>
      <c r="I195" s="21" t="n"/>
      <c r="J195" s="20" t="n"/>
    </row>
    <row r="196" ht="18" customHeight="1">
      <c r="A196" s="20" t="n"/>
      <c r="B196" s="20" t="n"/>
      <c r="C196" s="20" t="n"/>
      <c r="D196" s="20" t="n"/>
      <c r="E196" s="20" t="n"/>
      <c r="F196" s="21" t="n"/>
      <c r="G196" s="24">
        <f>IF(F196="","",TODAY()-F196)</f>
        <v/>
      </c>
      <c r="H196" s="25">
        <f>IF(OR(E196="Stage X",E196="Stage 6",E196="",F196=""),"—",IF(AND(G196&gt;14,OR(E196="Stage 1",E196="Stage 2",E196="Stage 3",E196="Stage 4")),"🔴 AGED",IF(AND(G196&gt;7,OR(E196="Stage 2",E196="Stage 3",E196="Stage 4")),"🟡 WATCH","—")))</f>
        <v/>
      </c>
      <c r="I196" s="21" t="n"/>
      <c r="J196" s="20" t="n"/>
    </row>
    <row r="197" ht="18" customHeight="1">
      <c r="A197" s="20" t="n"/>
      <c r="B197" s="20" t="n"/>
      <c r="C197" s="20" t="n"/>
      <c r="D197" s="20" t="n"/>
      <c r="E197" s="20" t="n"/>
      <c r="F197" s="21" t="n"/>
      <c r="G197" s="24">
        <f>IF(F197="","",TODAY()-F197)</f>
        <v/>
      </c>
      <c r="H197" s="25">
        <f>IF(OR(E197="Stage X",E197="Stage 6",E197="",F197=""),"—",IF(AND(G197&gt;14,OR(E197="Stage 1",E197="Stage 2",E197="Stage 3",E197="Stage 4")),"🔴 AGED",IF(AND(G197&gt;7,OR(E197="Stage 2",E197="Stage 3",E197="Stage 4")),"🟡 WATCH","—")))</f>
        <v/>
      </c>
      <c r="I197" s="21" t="n"/>
      <c r="J197" s="20" t="n"/>
    </row>
    <row r="198" ht="18" customHeight="1">
      <c r="A198" s="20" t="n"/>
      <c r="B198" s="20" t="n"/>
      <c r="C198" s="20" t="n"/>
      <c r="D198" s="20" t="n"/>
      <c r="E198" s="20" t="n"/>
      <c r="F198" s="21" t="n"/>
      <c r="G198" s="24">
        <f>IF(F198="","",TODAY()-F198)</f>
        <v/>
      </c>
      <c r="H198" s="25">
        <f>IF(OR(E198="Stage X",E198="Stage 6",E198="",F198=""),"—",IF(AND(G198&gt;14,OR(E198="Stage 1",E198="Stage 2",E198="Stage 3",E198="Stage 4")),"🔴 AGED",IF(AND(G198&gt;7,OR(E198="Stage 2",E198="Stage 3",E198="Stage 4")),"🟡 WATCH","—")))</f>
        <v/>
      </c>
      <c r="I198" s="21" t="n"/>
      <c r="J198" s="20" t="n"/>
    </row>
    <row r="199" ht="18" customHeight="1">
      <c r="A199" s="20" t="n"/>
      <c r="B199" s="20" t="n"/>
      <c r="C199" s="20" t="n"/>
      <c r="D199" s="20" t="n"/>
      <c r="E199" s="20" t="n"/>
      <c r="F199" s="21" t="n"/>
      <c r="G199" s="24">
        <f>IF(F199="","",TODAY()-F199)</f>
        <v/>
      </c>
      <c r="H199" s="25">
        <f>IF(OR(E199="Stage X",E199="Stage 6",E199="",F199=""),"—",IF(AND(G199&gt;14,OR(E199="Stage 1",E199="Stage 2",E199="Stage 3",E199="Stage 4")),"🔴 AGED",IF(AND(G199&gt;7,OR(E199="Stage 2",E199="Stage 3",E199="Stage 4")),"🟡 WATCH","—")))</f>
        <v/>
      </c>
      <c r="I199" s="21" t="n"/>
      <c r="J199" s="20" t="n"/>
    </row>
    <row r="200" ht="18" customHeight="1">
      <c r="A200" s="20" t="n"/>
      <c r="B200" s="20" t="n"/>
      <c r="C200" s="20" t="n"/>
      <c r="D200" s="20" t="n"/>
      <c r="E200" s="20" t="n"/>
      <c r="F200" s="21" t="n"/>
      <c r="G200" s="24">
        <f>IF(F200="","",TODAY()-F200)</f>
        <v/>
      </c>
      <c r="H200" s="25">
        <f>IF(OR(E200="Stage X",E200="Stage 6",E200="",F200=""),"—",IF(AND(G200&gt;14,OR(E200="Stage 1",E200="Stage 2",E200="Stage 3",E200="Stage 4")),"🔴 AGED",IF(AND(G200&gt;7,OR(E200="Stage 2",E200="Stage 3",E200="Stage 4")),"🟡 WATCH","—")))</f>
        <v/>
      </c>
      <c r="I200" s="21" t="n"/>
      <c r="J200" s="20" t="n"/>
    </row>
  </sheetData>
  <autoFilter ref="A14:J14"/>
  <mergeCells count="2">
    <mergeCell ref="A1:J1"/>
    <mergeCell ref="A2:J2"/>
  </mergeCells>
  <conditionalFormatting sqref="A15:J500">
    <cfRule type="expression" priority="1" dxfId="2">
      <formula>=$H15="🔴 AGED"</formula>
    </cfRule>
    <cfRule type="expression" priority="2" dxfId="13">
      <formula>=$H15="🟡 WATCH"</formula>
    </cfRule>
  </conditionalFormatting>
  <conditionalFormatting sqref="E15:E500">
    <cfRule type="expression" priority="3" dxfId="17">
      <formula>=$E15="Stage 0"</formula>
    </cfRule>
    <cfRule type="expression" priority="4" dxfId="11">
      <formula>=$E15="Stage 1"</formula>
    </cfRule>
    <cfRule type="expression" priority="5" dxfId="12">
      <formula>=$E15="Stage 2"</formula>
    </cfRule>
    <cfRule type="expression" priority="6" dxfId="6">
      <formula>=$E15="Stage 3"</formula>
    </cfRule>
    <cfRule type="expression" priority="7" dxfId="13">
      <formula>=$E15="Stage 4"</formula>
    </cfRule>
    <cfRule type="expression" priority="8" dxfId="14">
      <formula>=$E15="Stage 5"</formula>
    </cfRule>
    <cfRule type="expression" priority="9" dxfId="15">
      <formula>=$E15="Stage 6"</formula>
    </cfRule>
    <cfRule type="expression" priority="10" dxfId="16">
      <formula>=$E15="Stage X"</formula>
    </cfRule>
  </conditionalFormatting>
  <conditionalFormatting sqref="B12">
    <cfRule type="expression" priority="11" dxfId="15">
      <formula>=B12&gt;=5</formula>
    </cfRule>
    <cfRule type="expression" priority="12" dxfId="18">
      <formula>=AND(B12&gt;=3,B12&lt;5)</formula>
    </cfRule>
    <cfRule type="expression" priority="13" dxfId="9">
      <formula>=B12&lt;3</formula>
    </cfRule>
  </conditionalFormatting>
  <conditionalFormatting sqref="A15:A500">
    <cfRule type="expression" priority="14" dxfId="2">
      <formula>=AND(A15&lt;&gt;"",COUNTIF(CRM!$A:$A,A15)=0)</formula>
    </cfRule>
  </conditionalFormatting>
  <dataValidations count="3">
    <dataValidation sqref="C15:C200" showDropDown="0" showInputMessage="0" showErrorMessage="1" allowBlank="1" errorTitle="Invalid Entry" error="Select from list" type="list">
      <formula1>"FMCG,Beverage,Beauty,Personal Care,Pharma-OTC,Food,Home Care,Dairy,Snacks,Other"</formula1>
    </dataValidation>
    <dataValidation sqref="D15:D200" showDropDown="0" showInputMessage="0" showErrorMessage="1" allowBlank="1" errorTitle="Invalid Entry" error="Select from list" type="list">
      <formula1>"Tier 1,Tier 2,Tier 3"</formula1>
    </dataValidation>
    <dataValidation sqref="E15:E200" showDropDown="0" showInputMessage="0" showErrorMessage="1" allowBlank="1" errorTitle="Invalid Entry" error="Select from list" type="list">
      <formula1>"Stage 0,Stage 1,Stage 2,Stage 3,Stage 4,Stage 5,Stage 6,Stage X"</formula1>
    </dataValidation>
  </dataValidations>
  <pageMargins left="0.75" right="0.75" top="1" bottom="1" header="0.5" footer="0.5"/>
  <pageSetup orientation="portrait" fitToWidth="1"/>
  <headerFooter>
    <oddHeader/>
    <oddFooter>&amp;CMEOS v1.0 · Tajribti Track 0 · Built 2026-07-27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EA580C"/>
    <outlinePr summaryBelow="1" summaryRight="1"/>
    <pageSetUpPr fitToPage="1"/>
  </sheetPr>
  <dimension ref="A1:R20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.7" customWidth="1" min="1" max="1"/>
    <col width="12" customWidth="1" min="2" max="2"/>
    <col width="24" customWidth="1" min="3" max="3"/>
    <col width="26.7" customWidth="1" min="4" max="4"/>
    <col width="26.7" customWidth="1" min="5" max="5"/>
    <col width="16" customWidth="1" min="6" max="6"/>
    <col width="10.7" customWidth="1" min="7" max="7"/>
    <col width="46.7" customWidth="1" min="8" max="8"/>
    <col width="17.3" customWidth="1" min="9" max="9"/>
    <col width="17.3" customWidth="1" min="10" max="10"/>
    <col width="21.3" customWidth="1" min="11" max="11"/>
    <col width="17.3" customWidth="1" min="12" max="12"/>
    <col width="26.7" customWidth="1" min="13" max="13"/>
    <col width="18.7" customWidth="1" min="14" max="14"/>
    <col width="18.7" customWidth="1" min="15" max="15"/>
    <col width="40" customWidth="1" min="16" max="16"/>
    <col width="14.7" customWidth="1" min="17" max="17"/>
    <col width="16" customWidth="1" min="18" max="18"/>
  </cols>
  <sheetData>
    <row r="1" ht="22.5" customHeight="1">
      <c r="A1" s="26" t="inlineStr">
        <is>
          <t>TAJRIBTI · LOI TRACKER · Track 0</t>
        </is>
      </c>
    </row>
    <row r="2" ht="18" customHeight="1">
      <c r="A2" s="37" t="inlineStr">
        <is>
          <t>LOIs Issued:</t>
        </is>
      </c>
      <c r="B2" s="38">
        <f>COUNTA(A5:A500)</f>
        <v/>
      </c>
      <c r="C2" s="37" t="inlineStr">
        <is>
          <t>LOIs Signed:</t>
        </is>
      </c>
      <c r="D2" s="38">
        <f>COUNTIF(I5:I500,"✅ Signed")</f>
        <v/>
      </c>
      <c r="E2" s="37" t="inlineStr">
        <is>
          <t>LOIs Declined:</t>
        </is>
      </c>
      <c r="F2" s="38">
        <f>COUNTIF(I5:I500,"❌ Declined")</f>
        <v/>
      </c>
      <c r="G2" s="37" t="inlineStr">
        <is>
          <t>Pending:</t>
        </is>
      </c>
      <c r="H2" s="38">
        <f>COUNTIF(I5:I500,"❌ Not yet")+COUNTIF(I5:I500,"🔄 Negotiating")</f>
        <v/>
      </c>
      <c r="I2" s="37" t="inlineStr">
        <is>
          <t>Pilots Signed:</t>
        </is>
      </c>
      <c r="J2" s="38">
        <f>COUNTIF(K5:K500,"✅ Signed")</f>
        <v/>
      </c>
      <c r="K2" s="37" t="inlineStr">
        <is>
          <t>Conversion Rate:</t>
        </is>
      </c>
      <c r="L2" s="38">
        <f>IFERROR(TEXT(D2/B2,"0%"),"—")</f>
        <v/>
      </c>
      <c r="M2" s="37" t="inlineStr">
        <is>
          <t>Overdue Follow-up:</t>
        </is>
      </c>
      <c r="N2" s="38">
        <f>COUNTIFS(I5:I500,"❌ Not yet",Q5:Q500,"&gt;"&amp;5)</f>
        <v/>
      </c>
    </row>
    <row r="3" ht="6" customHeight="1"/>
    <row r="4" ht="24" customHeight="1">
      <c r="A4" s="39" t="inlineStr">
        <is>
          <t>LOI ID</t>
        </is>
      </c>
      <c r="B4" s="39" t="inlineStr">
        <is>
          <t>Account ID</t>
        </is>
      </c>
      <c r="C4" s="39" t="inlineStr">
        <is>
          <t>Company Name</t>
        </is>
      </c>
      <c r="D4" s="39" t="inlineStr">
        <is>
          <t>Contact Receiving LOI</t>
        </is>
      </c>
      <c r="E4" s="39" t="inlineStr">
        <is>
          <t>LOI Type</t>
        </is>
      </c>
      <c r="F4" s="39" t="inlineStr">
        <is>
          <t>LOI Issued Date</t>
        </is>
      </c>
      <c r="G4" s="39" t="inlineStr">
        <is>
          <t>LOI Version</t>
        </is>
      </c>
      <c r="H4" s="39" t="inlineStr">
        <is>
          <t>Commercial Terms Summary</t>
        </is>
      </c>
      <c r="I4" s="39" t="inlineStr">
        <is>
          <t>Brand Countersigned?</t>
        </is>
      </c>
      <c r="J4" s="39" t="inlineStr">
        <is>
          <t>Countersigned Date</t>
        </is>
      </c>
      <c r="K4" s="39" t="inlineStr">
        <is>
          <t>Pilot Agreement Executed?</t>
        </is>
      </c>
      <c r="L4" s="39" t="inlineStr">
        <is>
          <t>Pilot Agreement Date</t>
        </is>
      </c>
      <c r="M4" s="39" t="inlineStr">
        <is>
          <t>Pilot Campaign Type</t>
        </is>
      </c>
      <c r="N4" s="39" t="inlineStr">
        <is>
          <t>Estimated Campaign Value</t>
        </is>
      </c>
      <c r="O4" s="39" t="inlineStr">
        <is>
          <t>Pilot Start Date (Planned)</t>
        </is>
      </c>
      <c r="P4" s="39" t="inlineStr">
        <is>
          <t>Notes</t>
        </is>
      </c>
      <c r="Q4" s="39" t="inlineStr">
        <is>
          <t>Days Since Issued</t>
        </is>
      </c>
      <c r="R4" s="39" t="inlineStr">
        <is>
          <t>Follow-up Due?</t>
        </is>
      </c>
    </row>
    <row r="5" ht="18" customHeight="1">
      <c r="A5" s="20" t="n"/>
      <c r="B5" s="20" t="n"/>
      <c r="C5" s="20" t="n"/>
      <c r="D5" s="20" t="n"/>
      <c r="E5" s="20" t="n"/>
      <c r="F5" s="21" t="n"/>
      <c r="G5" s="20" t="n"/>
      <c r="H5" s="20" t="n"/>
      <c r="I5" s="20" t="n"/>
      <c r="J5" s="21" t="n"/>
      <c r="K5" s="20" t="n"/>
      <c r="L5" s="21" t="n"/>
      <c r="M5" s="20" t="n"/>
      <c r="N5" s="20" t="n"/>
      <c r="O5" s="21" t="n"/>
      <c r="P5" s="20" t="n"/>
      <c r="Q5" s="24">
        <f>IF(F5="","",TODAY()-F5)</f>
        <v/>
      </c>
      <c r="R5" s="25">
        <f>IF(OR(F5="",I5="✅ Signed",I5="❌ Declined"),"—",IF(AND(Q5&gt;5,I5="❌ Not yet"),"🔴 FOLLOW UP NOW",IF(AND(Q5&gt;14,I5="🔄 Negotiating"),"🔴 STALLING",IF(AND(Q5&gt;=3,Q5&lt;=5,I5="❌ Not yet"),"🟡 DUE SOON","—"))))</f>
        <v/>
      </c>
    </row>
    <row r="6" ht="18" customHeight="1">
      <c r="A6" s="20" t="n"/>
      <c r="B6" s="20" t="n"/>
      <c r="C6" s="20" t="n"/>
      <c r="D6" s="20" t="n"/>
      <c r="E6" s="20" t="n"/>
      <c r="F6" s="21" t="n"/>
      <c r="G6" s="20" t="n"/>
      <c r="H6" s="20" t="n"/>
      <c r="I6" s="20" t="n"/>
      <c r="J6" s="21" t="n"/>
      <c r="K6" s="20" t="n"/>
      <c r="L6" s="21" t="n"/>
      <c r="M6" s="20" t="n"/>
      <c r="N6" s="20" t="n"/>
      <c r="O6" s="21" t="n"/>
      <c r="P6" s="20" t="n"/>
      <c r="Q6" s="24">
        <f>IF(F6="","",TODAY()-F6)</f>
        <v/>
      </c>
      <c r="R6" s="25">
        <f>IF(OR(F6="",I6="✅ Signed",I6="❌ Declined"),"—",IF(AND(Q6&gt;5,I6="❌ Not yet"),"🔴 FOLLOW UP NOW",IF(AND(Q6&gt;14,I6="🔄 Negotiating"),"🔴 STALLING",IF(AND(Q6&gt;=3,Q6&lt;=5,I6="❌ Not yet"),"🟡 DUE SOON","—"))))</f>
        <v/>
      </c>
    </row>
    <row r="7" ht="18" customHeight="1">
      <c r="A7" s="20" t="n"/>
      <c r="B7" s="20" t="n"/>
      <c r="C7" s="20" t="n"/>
      <c r="D7" s="20" t="n"/>
      <c r="E7" s="20" t="n"/>
      <c r="F7" s="21" t="n"/>
      <c r="G7" s="20" t="n"/>
      <c r="H7" s="20" t="n"/>
      <c r="I7" s="20" t="n"/>
      <c r="J7" s="21" t="n"/>
      <c r="K7" s="20" t="n"/>
      <c r="L7" s="21" t="n"/>
      <c r="M7" s="20" t="n"/>
      <c r="N7" s="20" t="n"/>
      <c r="O7" s="21" t="n"/>
      <c r="P7" s="20" t="n"/>
      <c r="Q7" s="24">
        <f>IF(F7="","",TODAY()-F7)</f>
        <v/>
      </c>
      <c r="R7" s="25">
        <f>IF(OR(F7="",I7="✅ Signed",I7="❌ Declined"),"—",IF(AND(Q7&gt;5,I7="❌ Not yet"),"🔴 FOLLOW UP NOW",IF(AND(Q7&gt;14,I7="🔄 Negotiating"),"🔴 STALLING",IF(AND(Q7&gt;=3,Q7&lt;=5,I7="❌ Not yet"),"🟡 DUE SOON","—"))))</f>
        <v/>
      </c>
    </row>
    <row r="8" ht="18" customHeight="1">
      <c r="A8" s="20" t="n"/>
      <c r="B8" s="20" t="n"/>
      <c r="C8" s="20" t="n"/>
      <c r="D8" s="20" t="n"/>
      <c r="E8" s="20" t="n"/>
      <c r="F8" s="21" t="n"/>
      <c r="G8" s="20" t="n"/>
      <c r="H8" s="20" t="n"/>
      <c r="I8" s="20" t="n"/>
      <c r="J8" s="21" t="n"/>
      <c r="K8" s="20" t="n"/>
      <c r="L8" s="21" t="n"/>
      <c r="M8" s="20" t="n"/>
      <c r="N8" s="20" t="n"/>
      <c r="O8" s="21" t="n"/>
      <c r="P8" s="20" t="n"/>
      <c r="Q8" s="24">
        <f>IF(F8="","",TODAY()-F8)</f>
        <v/>
      </c>
      <c r="R8" s="25">
        <f>IF(OR(F8="",I8="✅ Signed",I8="❌ Declined"),"—",IF(AND(Q8&gt;5,I8="❌ Not yet"),"🔴 FOLLOW UP NOW",IF(AND(Q8&gt;14,I8="🔄 Negotiating"),"🔴 STALLING",IF(AND(Q8&gt;=3,Q8&lt;=5,I8="❌ Not yet"),"🟡 DUE SOON","—"))))</f>
        <v/>
      </c>
    </row>
    <row r="9" ht="18" customHeight="1">
      <c r="A9" s="20" t="n"/>
      <c r="B9" s="20" t="n"/>
      <c r="C9" s="20" t="n"/>
      <c r="D9" s="20" t="n"/>
      <c r="E9" s="20" t="n"/>
      <c r="F9" s="21" t="n"/>
      <c r="G9" s="20" t="n"/>
      <c r="H9" s="20" t="n"/>
      <c r="I9" s="20" t="n"/>
      <c r="J9" s="21" t="n"/>
      <c r="K9" s="20" t="n"/>
      <c r="L9" s="21" t="n"/>
      <c r="M9" s="20" t="n"/>
      <c r="N9" s="20" t="n"/>
      <c r="O9" s="21" t="n"/>
      <c r="P9" s="20" t="n"/>
      <c r="Q9" s="24">
        <f>IF(F9="","",TODAY()-F9)</f>
        <v/>
      </c>
      <c r="R9" s="25">
        <f>IF(OR(F9="",I9="✅ Signed",I9="❌ Declined"),"—",IF(AND(Q9&gt;5,I9="❌ Not yet"),"🔴 FOLLOW UP NOW",IF(AND(Q9&gt;14,I9="🔄 Negotiating"),"🔴 STALLING",IF(AND(Q9&gt;=3,Q9&lt;=5,I9="❌ Not yet"),"🟡 DUE SOON","—"))))</f>
        <v/>
      </c>
    </row>
    <row r="10" ht="18" customHeight="1">
      <c r="A10" s="20" t="n"/>
      <c r="B10" s="20" t="n"/>
      <c r="C10" s="20" t="n"/>
      <c r="D10" s="20" t="n"/>
      <c r="E10" s="20" t="n"/>
      <c r="F10" s="21" t="n"/>
      <c r="G10" s="20" t="n"/>
      <c r="H10" s="20" t="n"/>
      <c r="I10" s="20" t="n"/>
      <c r="J10" s="21" t="n"/>
      <c r="K10" s="20" t="n"/>
      <c r="L10" s="21" t="n"/>
      <c r="M10" s="20" t="n"/>
      <c r="N10" s="20" t="n"/>
      <c r="O10" s="21" t="n"/>
      <c r="P10" s="20" t="n"/>
      <c r="Q10" s="24">
        <f>IF(F10="","",TODAY()-F10)</f>
        <v/>
      </c>
      <c r="R10" s="25">
        <f>IF(OR(F10="",I10="✅ Signed",I10="❌ Declined"),"—",IF(AND(Q10&gt;5,I10="❌ Not yet"),"🔴 FOLLOW UP NOW",IF(AND(Q10&gt;14,I10="🔄 Negotiating"),"🔴 STALLING",IF(AND(Q10&gt;=3,Q10&lt;=5,I10="❌ Not yet"),"🟡 DUE SOON","—"))))</f>
        <v/>
      </c>
    </row>
    <row r="11" ht="18" customHeight="1">
      <c r="A11" s="20" t="n"/>
      <c r="B11" s="20" t="n"/>
      <c r="C11" s="20" t="n"/>
      <c r="D11" s="20" t="n"/>
      <c r="E11" s="20" t="n"/>
      <c r="F11" s="21" t="n"/>
      <c r="G11" s="20" t="n"/>
      <c r="H11" s="20" t="n"/>
      <c r="I11" s="20" t="n"/>
      <c r="J11" s="21" t="n"/>
      <c r="K11" s="20" t="n"/>
      <c r="L11" s="21" t="n"/>
      <c r="M11" s="20" t="n"/>
      <c r="N11" s="20" t="n"/>
      <c r="O11" s="21" t="n"/>
      <c r="P11" s="20" t="n"/>
      <c r="Q11" s="24">
        <f>IF(F11="","",TODAY()-F11)</f>
        <v/>
      </c>
      <c r="R11" s="25">
        <f>IF(OR(F11="",I11="✅ Signed",I11="❌ Declined"),"—",IF(AND(Q11&gt;5,I11="❌ Not yet"),"🔴 FOLLOW UP NOW",IF(AND(Q11&gt;14,I11="🔄 Negotiating"),"🔴 STALLING",IF(AND(Q11&gt;=3,Q11&lt;=5,I11="❌ Not yet"),"🟡 DUE SOON","—"))))</f>
        <v/>
      </c>
    </row>
    <row r="12" ht="18" customHeight="1">
      <c r="A12" s="20" t="n"/>
      <c r="B12" s="20" t="n"/>
      <c r="C12" s="20" t="n"/>
      <c r="D12" s="20" t="n"/>
      <c r="E12" s="20" t="n"/>
      <c r="F12" s="21" t="n"/>
      <c r="G12" s="20" t="n"/>
      <c r="H12" s="20" t="n"/>
      <c r="I12" s="20" t="n"/>
      <c r="J12" s="21" t="n"/>
      <c r="K12" s="20" t="n"/>
      <c r="L12" s="21" t="n"/>
      <c r="M12" s="20" t="n"/>
      <c r="N12" s="20" t="n"/>
      <c r="O12" s="21" t="n"/>
      <c r="P12" s="20" t="n"/>
      <c r="Q12" s="24">
        <f>IF(F12="","",TODAY()-F12)</f>
        <v/>
      </c>
      <c r="R12" s="25">
        <f>IF(OR(F12="",I12="✅ Signed",I12="❌ Declined"),"—",IF(AND(Q12&gt;5,I12="❌ Not yet"),"🔴 FOLLOW UP NOW",IF(AND(Q12&gt;14,I12="🔄 Negotiating"),"🔴 STALLING",IF(AND(Q12&gt;=3,Q12&lt;=5,I12="❌ Not yet"),"🟡 DUE SOON","—"))))</f>
        <v/>
      </c>
    </row>
    <row r="13" ht="18" customHeight="1">
      <c r="A13" s="20" t="n"/>
      <c r="B13" s="20" t="n"/>
      <c r="C13" s="20" t="n"/>
      <c r="D13" s="20" t="n"/>
      <c r="E13" s="20" t="n"/>
      <c r="F13" s="21" t="n"/>
      <c r="G13" s="20" t="n"/>
      <c r="H13" s="20" t="n"/>
      <c r="I13" s="20" t="n"/>
      <c r="J13" s="21" t="n"/>
      <c r="K13" s="20" t="n"/>
      <c r="L13" s="21" t="n"/>
      <c r="M13" s="20" t="n"/>
      <c r="N13" s="20" t="n"/>
      <c r="O13" s="21" t="n"/>
      <c r="P13" s="20" t="n"/>
      <c r="Q13" s="24">
        <f>IF(F13="","",TODAY()-F13)</f>
        <v/>
      </c>
      <c r="R13" s="25">
        <f>IF(OR(F13="",I13="✅ Signed",I13="❌ Declined"),"—",IF(AND(Q13&gt;5,I13="❌ Not yet"),"🔴 FOLLOW UP NOW",IF(AND(Q13&gt;14,I13="🔄 Negotiating"),"🔴 STALLING",IF(AND(Q13&gt;=3,Q13&lt;=5,I13="❌ Not yet"),"🟡 DUE SOON","—"))))</f>
        <v/>
      </c>
    </row>
    <row r="14" ht="18" customHeight="1">
      <c r="A14" s="20" t="n"/>
      <c r="B14" s="20" t="n"/>
      <c r="C14" s="20" t="n"/>
      <c r="D14" s="20" t="n"/>
      <c r="E14" s="20" t="n"/>
      <c r="F14" s="21" t="n"/>
      <c r="G14" s="20" t="n"/>
      <c r="H14" s="20" t="n"/>
      <c r="I14" s="20" t="n"/>
      <c r="J14" s="21" t="n"/>
      <c r="K14" s="20" t="n"/>
      <c r="L14" s="21" t="n"/>
      <c r="M14" s="20" t="n"/>
      <c r="N14" s="20" t="n"/>
      <c r="O14" s="21" t="n"/>
      <c r="P14" s="20" t="n"/>
      <c r="Q14" s="24">
        <f>IF(F14="","",TODAY()-F14)</f>
        <v/>
      </c>
      <c r="R14" s="25">
        <f>IF(OR(F14="",I14="✅ Signed",I14="❌ Declined"),"—",IF(AND(Q14&gt;5,I14="❌ Not yet"),"🔴 FOLLOW UP NOW",IF(AND(Q14&gt;14,I14="🔄 Negotiating"),"🔴 STALLING",IF(AND(Q14&gt;=3,Q14&lt;=5,I14="❌ Not yet"),"🟡 DUE SOON","—"))))</f>
        <v/>
      </c>
    </row>
    <row r="15" ht="18" customHeight="1">
      <c r="A15" s="20" t="n"/>
      <c r="B15" s="20" t="n"/>
      <c r="C15" s="20" t="n"/>
      <c r="D15" s="20" t="n"/>
      <c r="E15" s="20" t="n"/>
      <c r="F15" s="21" t="n"/>
      <c r="G15" s="20" t="n"/>
      <c r="H15" s="20" t="n"/>
      <c r="I15" s="20" t="n"/>
      <c r="J15" s="21" t="n"/>
      <c r="K15" s="20" t="n"/>
      <c r="L15" s="21" t="n"/>
      <c r="M15" s="20" t="n"/>
      <c r="N15" s="20" t="n"/>
      <c r="O15" s="21" t="n"/>
      <c r="P15" s="20" t="n"/>
      <c r="Q15" s="24">
        <f>IF(F15="","",TODAY()-F15)</f>
        <v/>
      </c>
      <c r="R15" s="25">
        <f>IF(OR(F15="",I15="✅ Signed",I15="❌ Declined"),"—",IF(AND(Q15&gt;5,I15="❌ Not yet"),"🔴 FOLLOW UP NOW",IF(AND(Q15&gt;14,I15="🔄 Negotiating"),"🔴 STALLING",IF(AND(Q15&gt;=3,Q15&lt;=5,I15="❌ Not yet"),"🟡 DUE SOON","—"))))</f>
        <v/>
      </c>
    </row>
    <row r="16" ht="18" customHeight="1">
      <c r="A16" s="20" t="n"/>
      <c r="B16" s="20" t="n"/>
      <c r="C16" s="20" t="n"/>
      <c r="D16" s="20" t="n"/>
      <c r="E16" s="20" t="n"/>
      <c r="F16" s="21" t="n"/>
      <c r="G16" s="20" t="n"/>
      <c r="H16" s="20" t="n"/>
      <c r="I16" s="20" t="n"/>
      <c r="J16" s="21" t="n"/>
      <c r="K16" s="20" t="n"/>
      <c r="L16" s="21" t="n"/>
      <c r="M16" s="20" t="n"/>
      <c r="N16" s="20" t="n"/>
      <c r="O16" s="21" t="n"/>
      <c r="P16" s="20" t="n"/>
      <c r="Q16" s="24">
        <f>IF(F16="","",TODAY()-F16)</f>
        <v/>
      </c>
      <c r="R16" s="25">
        <f>IF(OR(F16="",I16="✅ Signed",I16="❌ Declined"),"—",IF(AND(Q16&gt;5,I16="❌ Not yet"),"🔴 FOLLOW UP NOW",IF(AND(Q16&gt;14,I16="🔄 Negotiating"),"🔴 STALLING",IF(AND(Q16&gt;=3,Q16&lt;=5,I16="❌ Not yet"),"🟡 DUE SOON","—"))))</f>
        <v/>
      </c>
    </row>
    <row r="17" ht="18" customHeight="1">
      <c r="A17" s="20" t="n"/>
      <c r="B17" s="20" t="n"/>
      <c r="C17" s="20" t="n"/>
      <c r="D17" s="20" t="n"/>
      <c r="E17" s="20" t="n"/>
      <c r="F17" s="21" t="n"/>
      <c r="G17" s="20" t="n"/>
      <c r="H17" s="20" t="n"/>
      <c r="I17" s="20" t="n"/>
      <c r="J17" s="21" t="n"/>
      <c r="K17" s="20" t="n"/>
      <c r="L17" s="21" t="n"/>
      <c r="M17" s="20" t="n"/>
      <c r="N17" s="20" t="n"/>
      <c r="O17" s="21" t="n"/>
      <c r="P17" s="20" t="n"/>
      <c r="Q17" s="24">
        <f>IF(F17="","",TODAY()-F17)</f>
        <v/>
      </c>
      <c r="R17" s="25">
        <f>IF(OR(F17="",I17="✅ Signed",I17="❌ Declined"),"—",IF(AND(Q17&gt;5,I17="❌ Not yet"),"🔴 FOLLOW UP NOW",IF(AND(Q17&gt;14,I17="🔄 Negotiating"),"🔴 STALLING",IF(AND(Q17&gt;=3,Q17&lt;=5,I17="❌ Not yet"),"🟡 DUE SOON","—"))))</f>
        <v/>
      </c>
    </row>
    <row r="18" ht="18" customHeight="1">
      <c r="A18" s="20" t="n"/>
      <c r="B18" s="20" t="n"/>
      <c r="C18" s="20" t="n"/>
      <c r="D18" s="20" t="n"/>
      <c r="E18" s="20" t="n"/>
      <c r="F18" s="21" t="n"/>
      <c r="G18" s="20" t="n"/>
      <c r="H18" s="20" t="n"/>
      <c r="I18" s="20" t="n"/>
      <c r="J18" s="21" t="n"/>
      <c r="K18" s="20" t="n"/>
      <c r="L18" s="21" t="n"/>
      <c r="M18" s="20" t="n"/>
      <c r="N18" s="20" t="n"/>
      <c r="O18" s="21" t="n"/>
      <c r="P18" s="20" t="n"/>
      <c r="Q18" s="24">
        <f>IF(F18="","",TODAY()-F18)</f>
        <v/>
      </c>
      <c r="R18" s="25">
        <f>IF(OR(F18="",I18="✅ Signed",I18="❌ Declined"),"—",IF(AND(Q18&gt;5,I18="❌ Not yet"),"🔴 FOLLOW UP NOW",IF(AND(Q18&gt;14,I18="🔄 Negotiating"),"🔴 STALLING",IF(AND(Q18&gt;=3,Q18&lt;=5,I18="❌ Not yet"),"🟡 DUE SOON","—"))))</f>
        <v/>
      </c>
    </row>
    <row r="19" ht="18" customHeight="1">
      <c r="A19" s="20" t="n"/>
      <c r="B19" s="20" t="n"/>
      <c r="C19" s="20" t="n"/>
      <c r="D19" s="20" t="n"/>
      <c r="E19" s="20" t="n"/>
      <c r="F19" s="21" t="n"/>
      <c r="G19" s="20" t="n"/>
      <c r="H19" s="20" t="n"/>
      <c r="I19" s="20" t="n"/>
      <c r="J19" s="21" t="n"/>
      <c r="K19" s="20" t="n"/>
      <c r="L19" s="21" t="n"/>
      <c r="M19" s="20" t="n"/>
      <c r="N19" s="20" t="n"/>
      <c r="O19" s="21" t="n"/>
      <c r="P19" s="20" t="n"/>
      <c r="Q19" s="24">
        <f>IF(F19="","",TODAY()-F19)</f>
        <v/>
      </c>
      <c r="R19" s="25">
        <f>IF(OR(F19="",I19="✅ Signed",I19="❌ Declined"),"—",IF(AND(Q19&gt;5,I19="❌ Not yet"),"🔴 FOLLOW UP NOW",IF(AND(Q19&gt;14,I19="🔄 Negotiating"),"🔴 STALLING",IF(AND(Q19&gt;=3,Q19&lt;=5,I19="❌ Not yet"),"🟡 DUE SOON","—"))))</f>
        <v/>
      </c>
    </row>
    <row r="20" ht="18" customHeight="1">
      <c r="A20" s="20" t="n"/>
      <c r="B20" s="20" t="n"/>
      <c r="C20" s="20" t="n"/>
      <c r="D20" s="20" t="n"/>
      <c r="E20" s="20" t="n"/>
      <c r="F20" s="21" t="n"/>
      <c r="G20" s="20" t="n"/>
      <c r="H20" s="20" t="n"/>
      <c r="I20" s="20" t="n"/>
      <c r="J20" s="21" t="n"/>
      <c r="K20" s="20" t="n"/>
      <c r="L20" s="21" t="n"/>
      <c r="M20" s="20" t="n"/>
      <c r="N20" s="20" t="n"/>
      <c r="O20" s="21" t="n"/>
      <c r="P20" s="20" t="n"/>
      <c r="Q20" s="24">
        <f>IF(F20="","",TODAY()-F20)</f>
        <v/>
      </c>
      <c r="R20" s="25">
        <f>IF(OR(F20="",I20="✅ Signed",I20="❌ Declined"),"—",IF(AND(Q20&gt;5,I20="❌ Not yet"),"🔴 FOLLOW UP NOW",IF(AND(Q20&gt;14,I20="🔄 Negotiating"),"🔴 STALLING",IF(AND(Q20&gt;=3,Q20&lt;=5,I20="❌ Not yet"),"🟡 DUE SOON","—"))))</f>
        <v/>
      </c>
    </row>
    <row r="21" ht="18" customHeight="1">
      <c r="A21" s="20" t="n"/>
      <c r="B21" s="20" t="n"/>
      <c r="C21" s="20" t="n"/>
      <c r="D21" s="20" t="n"/>
      <c r="E21" s="20" t="n"/>
      <c r="F21" s="21" t="n"/>
      <c r="G21" s="20" t="n"/>
      <c r="H21" s="20" t="n"/>
      <c r="I21" s="20" t="n"/>
      <c r="J21" s="21" t="n"/>
      <c r="K21" s="20" t="n"/>
      <c r="L21" s="21" t="n"/>
      <c r="M21" s="20" t="n"/>
      <c r="N21" s="20" t="n"/>
      <c r="O21" s="21" t="n"/>
      <c r="P21" s="20" t="n"/>
      <c r="Q21" s="24">
        <f>IF(F21="","",TODAY()-F21)</f>
        <v/>
      </c>
      <c r="R21" s="25">
        <f>IF(OR(F21="",I21="✅ Signed",I21="❌ Declined"),"—",IF(AND(Q21&gt;5,I21="❌ Not yet"),"🔴 FOLLOW UP NOW",IF(AND(Q21&gt;14,I21="🔄 Negotiating"),"🔴 STALLING",IF(AND(Q21&gt;=3,Q21&lt;=5,I21="❌ Not yet"),"🟡 DUE SOON","—"))))</f>
        <v/>
      </c>
    </row>
    <row r="22" ht="18" customHeight="1">
      <c r="A22" s="20" t="n"/>
      <c r="B22" s="20" t="n"/>
      <c r="C22" s="20" t="n"/>
      <c r="D22" s="20" t="n"/>
      <c r="E22" s="20" t="n"/>
      <c r="F22" s="21" t="n"/>
      <c r="G22" s="20" t="n"/>
      <c r="H22" s="20" t="n"/>
      <c r="I22" s="20" t="n"/>
      <c r="J22" s="21" t="n"/>
      <c r="K22" s="20" t="n"/>
      <c r="L22" s="21" t="n"/>
      <c r="M22" s="20" t="n"/>
      <c r="N22" s="20" t="n"/>
      <c r="O22" s="21" t="n"/>
      <c r="P22" s="20" t="n"/>
      <c r="Q22" s="24">
        <f>IF(F22="","",TODAY()-F22)</f>
        <v/>
      </c>
      <c r="R22" s="25">
        <f>IF(OR(F22="",I22="✅ Signed",I22="❌ Declined"),"—",IF(AND(Q22&gt;5,I22="❌ Not yet"),"🔴 FOLLOW UP NOW",IF(AND(Q22&gt;14,I22="🔄 Negotiating"),"🔴 STALLING",IF(AND(Q22&gt;=3,Q22&lt;=5,I22="❌ Not yet"),"🟡 DUE SOON","—"))))</f>
        <v/>
      </c>
    </row>
    <row r="23" ht="18" customHeight="1">
      <c r="A23" s="20" t="n"/>
      <c r="B23" s="20" t="n"/>
      <c r="C23" s="20" t="n"/>
      <c r="D23" s="20" t="n"/>
      <c r="E23" s="20" t="n"/>
      <c r="F23" s="21" t="n"/>
      <c r="G23" s="20" t="n"/>
      <c r="H23" s="20" t="n"/>
      <c r="I23" s="20" t="n"/>
      <c r="J23" s="21" t="n"/>
      <c r="K23" s="20" t="n"/>
      <c r="L23" s="21" t="n"/>
      <c r="M23" s="20" t="n"/>
      <c r="N23" s="20" t="n"/>
      <c r="O23" s="21" t="n"/>
      <c r="P23" s="20" t="n"/>
      <c r="Q23" s="24">
        <f>IF(F23="","",TODAY()-F23)</f>
        <v/>
      </c>
      <c r="R23" s="25">
        <f>IF(OR(F23="",I23="✅ Signed",I23="❌ Declined"),"—",IF(AND(Q23&gt;5,I23="❌ Not yet"),"🔴 FOLLOW UP NOW",IF(AND(Q23&gt;14,I23="🔄 Negotiating"),"🔴 STALLING",IF(AND(Q23&gt;=3,Q23&lt;=5,I23="❌ Not yet"),"🟡 DUE SOON","—"))))</f>
        <v/>
      </c>
    </row>
    <row r="24" ht="18" customHeight="1">
      <c r="A24" s="20" t="n"/>
      <c r="B24" s="20" t="n"/>
      <c r="C24" s="20" t="n"/>
      <c r="D24" s="20" t="n"/>
      <c r="E24" s="20" t="n"/>
      <c r="F24" s="21" t="n"/>
      <c r="G24" s="20" t="n"/>
      <c r="H24" s="20" t="n"/>
      <c r="I24" s="20" t="n"/>
      <c r="J24" s="21" t="n"/>
      <c r="K24" s="20" t="n"/>
      <c r="L24" s="21" t="n"/>
      <c r="M24" s="20" t="n"/>
      <c r="N24" s="20" t="n"/>
      <c r="O24" s="21" t="n"/>
      <c r="P24" s="20" t="n"/>
      <c r="Q24" s="24">
        <f>IF(F24="","",TODAY()-F24)</f>
        <v/>
      </c>
      <c r="R24" s="25">
        <f>IF(OR(F24="",I24="✅ Signed",I24="❌ Declined"),"—",IF(AND(Q24&gt;5,I24="❌ Not yet"),"🔴 FOLLOW UP NOW",IF(AND(Q24&gt;14,I24="🔄 Negotiating"),"🔴 STALLING",IF(AND(Q24&gt;=3,Q24&lt;=5,I24="❌ Not yet"),"🟡 DUE SOON","—"))))</f>
        <v/>
      </c>
    </row>
    <row r="25" ht="18" customHeight="1">
      <c r="A25" s="20" t="n"/>
      <c r="B25" s="20" t="n"/>
      <c r="C25" s="20" t="n"/>
      <c r="D25" s="20" t="n"/>
      <c r="E25" s="20" t="n"/>
      <c r="F25" s="21" t="n"/>
      <c r="G25" s="20" t="n"/>
      <c r="H25" s="20" t="n"/>
      <c r="I25" s="20" t="n"/>
      <c r="J25" s="21" t="n"/>
      <c r="K25" s="20" t="n"/>
      <c r="L25" s="21" t="n"/>
      <c r="M25" s="20" t="n"/>
      <c r="N25" s="20" t="n"/>
      <c r="O25" s="21" t="n"/>
      <c r="P25" s="20" t="n"/>
      <c r="Q25" s="24">
        <f>IF(F25="","",TODAY()-F25)</f>
        <v/>
      </c>
      <c r="R25" s="25">
        <f>IF(OR(F25="",I25="✅ Signed",I25="❌ Declined"),"—",IF(AND(Q25&gt;5,I25="❌ Not yet"),"🔴 FOLLOW UP NOW",IF(AND(Q25&gt;14,I25="🔄 Negotiating"),"🔴 STALLING",IF(AND(Q25&gt;=3,Q25&lt;=5,I25="❌ Not yet"),"🟡 DUE SOON","—"))))</f>
        <v/>
      </c>
    </row>
    <row r="26" ht="18" customHeight="1">
      <c r="A26" s="20" t="n"/>
      <c r="B26" s="20" t="n"/>
      <c r="C26" s="20" t="n"/>
      <c r="D26" s="20" t="n"/>
      <c r="E26" s="20" t="n"/>
      <c r="F26" s="21" t="n"/>
      <c r="G26" s="20" t="n"/>
      <c r="H26" s="20" t="n"/>
      <c r="I26" s="20" t="n"/>
      <c r="J26" s="21" t="n"/>
      <c r="K26" s="20" t="n"/>
      <c r="L26" s="21" t="n"/>
      <c r="M26" s="20" t="n"/>
      <c r="N26" s="20" t="n"/>
      <c r="O26" s="21" t="n"/>
      <c r="P26" s="20" t="n"/>
      <c r="Q26" s="24">
        <f>IF(F26="","",TODAY()-F26)</f>
        <v/>
      </c>
      <c r="R26" s="25">
        <f>IF(OR(F26="",I26="✅ Signed",I26="❌ Declined"),"—",IF(AND(Q26&gt;5,I26="❌ Not yet"),"🔴 FOLLOW UP NOW",IF(AND(Q26&gt;14,I26="🔄 Negotiating"),"🔴 STALLING",IF(AND(Q26&gt;=3,Q26&lt;=5,I26="❌ Not yet"),"🟡 DUE SOON","—"))))</f>
        <v/>
      </c>
    </row>
    <row r="27" ht="18" customHeight="1">
      <c r="A27" s="20" t="n"/>
      <c r="B27" s="20" t="n"/>
      <c r="C27" s="20" t="n"/>
      <c r="D27" s="20" t="n"/>
      <c r="E27" s="20" t="n"/>
      <c r="F27" s="21" t="n"/>
      <c r="G27" s="20" t="n"/>
      <c r="H27" s="20" t="n"/>
      <c r="I27" s="20" t="n"/>
      <c r="J27" s="21" t="n"/>
      <c r="K27" s="20" t="n"/>
      <c r="L27" s="21" t="n"/>
      <c r="M27" s="20" t="n"/>
      <c r="N27" s="20" t="n"/>
      <c r="O27" s="21" t="n"/>
      <c r="P27" s="20" t="n"/>
      <c r="Q27" s="24">
        <f>IF(F27="","",TODAY()-F27)</f>
        <v/>
      </c>
      <c r="R27" s="25">
        <f>IF(OR(F27="",I27="✅ Signed",I27="❌ Declined"),"—",IF(AND(Q27&gt;5,I27="❌ Not yet"),"🔴 FOLLOW UP NOW",IF(AND(Q27&gt;14,I27="🔄 Negotiating"),"🔴 STALLING",IF(AND(Q27&gt;=3,Q27&lt;=5,I27="❌ Not yet"),"🟡 DUE SOON","—"))))</f>
        <v/>
      </c>
    </row>
    <row r="28" ht="18" customHeight="1">
      <c r="A28" s="20" t="n"/>
      <c r="B28" s="20" t="n"/>
      <c r="C28" s="20" t="n"/>
      <c r="D28" s="20" t="n"/>
      <c r="E28" s="20" t="n"/>
      <c r="F28" s="21" t="n"/>
      <c r="G28" s="20" t="n"/>
      <c r="H28" s="20" t="n"/>
      <c r="I28" s="20" t="n"/>
      <c r="J28" s="21" t="n"/>
      <c r="K28" s="20" t="n"/>
      <c r="L28" s="21" t="n"/>
      <c r="M28" s="20" t="n"/>
      <c r="N28" s="20" t="n"/>
      <c r="O28" s="21" t="n"/>
      <c r="P28" s="20" t="n"/>
      <c r="Q28" s="24">
        <f>IF(F28="","",TODAY()-F28)</f>
        <v/>
      </c>
      <c r="R28" s="25">
        <f>IF(OR(F28="",I28="✅ Signed",I28="❌ Declined"),"—",IF(AND(Q28&gt;5,I28="❌ Not yet"),"🔴 FOLLOW UP NOW",IF(AND(Q28&gt;14,I28="🔄 Negotiating"),"🔴 STALLING",IF(AND(Q28&gt;=3,Q28&lt;=5,I28="❌ Not yet"),"🟡 DUE SOON","—"))))</f>
        <v/>
      </c>
    </row>
    <row r="29" ht="18" customHeight="1">
      <c r="A29" s="20" t="n"/>
      <c r="B29" s="20" t="n"/>
      <c r="C29" s="20" t="n"/>
      <c r="D29" s="20" t="n"/>
      <c r="E29" s="20" t="n"/>
      <c r="F29" s="21" t="n"/>
      <c r="G29" s="20" t="n"/>
      <c r="H29" s="20" t="n"/>
      <c r="I29" s="20" t="n"/>
      <c r="J29" s="21" t="n"/>
      <c r="K29" s="20" t="n"/>
      <c r="L29" s="21" t="n"/>
      <c r="M29" s="20" t="n"/>
      <c r="N29" s="20" t="n"/>
      <c r="O29" s="21" t="n"/>
      <c r="P29" s="20" t="n"/>
      <c r="Q29" s="24">
        <f>IF(F29="","",TODAY()-F29)</f>
        <v/>
      </c>
      <c r="R29" s="25">
        <f>IF(OR(F29="",I29="✅ Signed",I29="❌ Declined"),"—",IF(AND(Q29&gt;5,I29="❌ Not yet"),"🔴 FOLLOW UP NOW",IF(AND(Q29&gt;14,I29="🔄 Negotiating"),"🔴 STALLING",IF(AND(Q29&gt;=3,Q29&lt;=5,I29="❌ Not yet"),"🟡 DUE SOON","—"))))</f>
        <v/>
      </c>
    </row>
    <row r="30" ht="18" customHeight="1">
      <c r="A30" s="20" t="n"/>
      <c r="B30" s="20" t="n"/>
      <c r="C30" s="20" t="n"/>
      <c r="D30" s="20" t="n"/>
      <c r="E30" s="20" t="n"/>
      <c r="F30" s="21" t="n"/>
      <c r="G30" s="20" t="n"/>
      <c r="H30" s="20" t="n"/>
      <c r="I30" s="20" t="n"/>
      <c r="J30" s="21" t="n"/>
      <c r="K30" s="20" t="n"/>
      <c r="L30" s="21" t="n"/>
      <c r="M30" s="20" t="n"/>
      <c r="N30" s="20" t="n"/>
      <c r="O30" s="21" t="n"/>
      <c r="P30" s="20" t="n"/>
      <c r="Q30" s="24">
        <f>IF(F30="","",TODAY()-F30)</f>
        <v/>
      </c>
      <c r="R30" s="25">
        <f>IF(OR(F30="",I30="✅ Signed",I30="❌ Declined"),"—",IF(AND(Q30&gt;5,I30="❌ Not yet"),"🔴 FOLLOW UP NOW",IF(AND(Q30&gt;14,I30="🔄 Negotiating"),"🔴 STALLING",IF(AND(Q30&gt;=3,Q30&lt;=5,I30="❌ Not yet"),"🟡 DUE SOON","—"))))</f>
        <v/>
      </c>
    </row>
    <row r="31" ht="18" customHeight="1">
      <c r="A31" s="20" t="n"/>
      <c r="B31" s="20" t="n"/>
      <c r="C31" s="20" t="n"/>
      <c r="D31" s="20" t="n"/>
      <c r="E31" s="20" t="n"/>
      <c r="F31" s="21" t="n"/>
      <c r="G31" s="20" t="n"/>
      <c r="H31" s="20" t="n"/>
      <c r="I31" s="20" t="n"/>
      <c r="J31" s="21" t="n"/>
      <c r="K31" s="20" t="n"/>
      <c r="L31" s="21" t="n"/>
      <c r="M31" s="20" t="n"/>
      <c r="N31" s="20" t="n"/>
      <c r="O31" s="21" t="n"/>
      <c r="P31" s="20" t="n"/>
      <c r="Q31" s="24">
        <f>IF(F31="","",TODAY()-F31)</f>
        <v/>
      </c>
      <c r="R31" s="25">
        <f>IF(OR(F31="",I31="✅ Signed",I31="❌ Declined"),"—",IF(AND(Q31&gt;5,I31="❌ Not yet"),"🔴 FOLLOW UP NOW",IF(AND(Q31&gt;14,I31="🔄 Negotiating"),"🔴 STALLING",IF(AND(Q31&gt;=3,Q31&lt;=5,I31="❌ Not yet"),"🟡 DUE SOON","—"))))</f>
        <v/>
      </c>
    </row>
    <row r="32" ht="18" customHeight="1">
      <c r="A32" s="20" t="n"/>
      <c r="B32" s="20" t="n"/>
      <c r="C32" s="20" t="n"/>
      <c r="D32" s="20" t="n"/>
      <c r="E32" s="20" t="n"/>
      <c r="F32" s="21" t="n"/>
      <c r="G32" s="20" t="n"/>
      <c r="H32" s="20" t="n"/>
      <c r="I32" s="20" t="n"/>
      <c r="J32" s="21" t="n"/>
      <c r="K32" s="20" t="n"/>
      <c r="L32" s="21" t="n"/>
      <c r="M32" s="20" t="n"/>
      <c r="N32" s="20" t="n"/>
      <c r="O32" s="21" t="n"/>
      <c r="P32" s="20" t="n"/>
      <c r="Q32" s="24">
        <f>IF(F32="","",TODAY()-F32)</f>
        <v/>
      </c>
      <c r="R32" s="25">
        <f>IF(OR(F32="",I32="✅ Signed",I32="❌ Declined"),"—",IF(AND(Q32&gt;5,I32="❌ Not yet"),"🔴 FOLLOW UP NOW",IF(AND(Q32&gt;14,I32="🔄 Negotiating"),"🔴 STALLING",IF(AND(Q32&gt;=3,Q32&lt;=5,I32="❌ Not yet"),"🟡 DUE SOON","—"))))</f>
        <v/>
      </c>
    </row>
    <row r="33" ht="18" customHeight="1">
      <c r="A33" s="20" t="n"/>
      <c r="B33" s="20" t="n"/>
      <c r="C33" s="20" t="n"/>
      <c r="D33" s="20" t="n"/>
      <c r="E33" s="20" t="n"/>
      <c r="F33" s="21" t="n"/>
      <c r="G33" s="20" t="n"/>
      <c r="H33" s="20" t="n"/>
      <c r="I33" s="20" t="n"/>
      <c r="J33" s="21" t="n"/>
      <c r="K33" s="20" t="n"/>
      <c r="L33" s="21" t="n"/>
      <c r="M33" s="20" t="n"/>
      <c r="N33" s="20" t="n"/>
      <c r="O33" s="21" t="n"/>
      <c r="P33" s="20" t="n"/>
      <c r="Q33" s="24">
        <f>IF(F33="","",TODAY()-F33)</f>
        <v/>
      </c>
      <c r="R33" s="25">
        <f>IF(OR(F33="",I33="✅ Signed",I33="❌ Declined"),"—",IF(AND(Q33&gt;5,I33="❌ Not yet"),"🔴 FOLLOW UP NOW",IF(AND(Q33&gt;14,I33="🔄 Negotiating"),"🔴 STALLING",IF(AND(Q33&gt;=3,Q33&lt;=5,I33="❌ Not yet"),"🟡 DUE SOON","—"))))</f>
        <v/>
      </c>
    </row>
    <row r="34" ht="18" customHeight="1">
      <c r="A34" s="20" t="n"/>
      <c r="B34" s="20" t="n"/>
      <c r="C34" s="20" t="n"/>
      <c r="D34" s="20" t="n"/>
      <c r="E34" s="20" t="n"/>
      <c r="F34" s="21" t="n"/>
      <c r="G34" s="20" t="n"/>
      <c r="H34" s="20" t="n"/>
      <c r="I34" s="20" t="n"/>
      <c r="J34" s="21" t="n"/>
      <c r="K34" s="20" t="n"/>
      <c r="L34" s="21" t="n"/>
      <c r="M34" s="20" t="n"/>
      <c r="N34" s="20" t="n"/>
      <c r="O34" s="21" t="n"/>
      <c r="P34" s="20" t="n"/>
      <c r="Q34" s="24">
        <f>IF(F34="","",TODAY()-F34)</f>
        <v/>
      </c>
      <c r="R34" s="25">
        <f>IF(OR(F34="",I34="✅ Signed",I34="❌ Declined"),"—",IF(AND(Q34&gt;5,I34="❌ Not yet"),"🔴 FOLLOW UP NOW",IF(AND(Q34&gt;14,I34="🔄 Negotiating"),"🔴 STALLING",IF(AND(Q34&gt;=3,Q34&lt;=5,I34="❌ Not yet"),"🟡 DUE SOON","—"))))</f>
        <v/>
      </c>
    </row>
    <row r="35" ht="18" customHeight="1">
      <c r="A35" s="20" t="n"/>
      <c r="B35" s="20" t="n"/>
      <c r="C35" s="20" t="n"/>
      <c r="D35" s="20" t="n"/>
      <c r="E35" s="20" t="n"/>
      <c r="F35" s="21" t="n"/>
      <c r="G35" s="20" t="n"/>
      <c r="H35" s="20" t="n"/>
      <c r="I35" s="20" t="n"/>
      <c r="J35" s="21" t="n"/>
      <c r="K35" s="20" t="n"/>
      <c r="L35" s="21" t="n"/>
      <c r="M35" s="20" t="n"/>
      <c r="N35" s="20" t="n"/>
      <c r="O35" s="21" t="n"/>
      <c r="P35" s="20" t="n"/>
      <c r="Q35" s="24">
        <f>IF(F35="","",TODAY()-F35)</f>
        <v/>
      </c>
      <c r="R35" s="25">
        <f>IF(OR(F35="",I35="✅ Signed",I35="❌ Declined"),"—",IF(AND(Q35&gt;5,I35="❌ Not yet"),"🔴 FOLLOW UP NOW",IF(AND(Q35&gt;14,I35="🔄 Negotiating"),"🔴 STALLING",IF(AND(Q35&gt;=3,Q35&lt;=5,I35="❌ Not yet"),"🟡 DUE SOON","—"))))</f>
        <v/>
      </c>
    </row>
    <row r="36" ht="18" customHeight="1">
      <c r="A36" s="20" t="n"/>
      <c r="B36" s="20" t="n"/>
      <c r="C36" s="20" t="n"/>
      <c r="D36" s="20" t="n"/>
      <c r="E36" s="20" t="n"/>
      <c r="F36" s="21" t="n"/>
      <c r="G36" s="20" t="n"/>
      <c r="H36" s="20" t="n"/>
      <c r="I36" s="20" t="n"/>
      <c r="J36" s="21" t="n"/>
      <c r="K36" s="20" t="n"/>
      <c r="L36" s="21" t="n"/>
      <c r="M36" s="20" t="n"/>
      <c r="N36" s="20" t="n"/>
      <c r="O36" s="21" t="n"/>
      <c r="P36" s="20" t="n"/>
      <c r="Q36" s="24">
        <f>IF(F36="","",TODAY()-F36)</f>
        <v/>
      </c>
      <c r="R36" s="25">
        <f>IF(OR(F36="",I36="✅ Signed",I36="❌ Declined"),"—",IF(AND(Q36&gt;5,I36="❌ Not yet"),"🔴 FOLLOW UP NOW",IF(AND(Q36&gt;14,I36="🔄 Negotiating"),"🔴 STALLING",IF(AND(Q36&gt;=3,Q36&lt;=5,I36="❌ Not yet"),"🟡 DUE SOON","—"))))</f>
        <v/>
      </c>
    </row>
    <row r="37" ht="18" customHeight="1">
      <c r="A37" s="20" t="n"/>
      <c r="B37" s="20" t="n"/>
      <c r="C37" s="20" t="n"/>
      <c r="D37" s="20" t="n"/>
      <c r="E37" s="20" t="n"/>
      <c r="F37" s="21" t="n"/>
      <c r="G37" s="20" t="n"/>
      <c r="H37" s="20" t="n"/>
      <c r="I37" s="20" t="n"/>
      <c r="J37" s="21" t="n"/>
      <c r="K37" s="20" t="n"/>
      <c r="L37" s="21" t="n"/>
      <c r="M37" s="20" t="n"/>
      <c r="N37" s="20" t="n"/>
      <c r="O37" s="21" t="n"/>
      <c r="P37" s="20" t="n"/>
      <c r="Q37" s="24">
        <f>IF(F37="","",TODAY()-F37)</f>
        <v/>
      </c>
      <c r="R37" s="25">
        <f>IF(OR(F37="",I37="✅ Signed",I37="❌ Declined"),"—",IF(AND(Q37&gt;5,I37="❌ Not yet"),"🔴 FOLLOW UP NOW",IF(AND(Q37&gt;14,I37="🔄 Negotiating"),"🔴 STALLING",IF(AND(Q37&gt;=3,Q37&lt;=5,I37="❌ Not yet"),"🟡 DUE SOON","—"))))</f>
        <v/>
      </c>
    </row>
    <row r="38" ht="18" customHeight="1">
      <c r="A38" s="20" t="n"/>
      <c r="B38" s="20" t="n"/>
      <c r="C38" s="20" t="n"/>
      <c r="D38" s="20" t="n"/>
      <c r="E38" s="20" t="n"/>
      <c r="F38" s="21" t="n"/>
      <c r="G38" s="20" t="n"/>
      <c r="H38" s="20" t="n"/>
      <c r="I38" s="20" t="n"/>
      <c r="J38" s="21" t="n"/>
      <c r="K38" s="20" t="n"/>
      <c r="L38" s="21" t="n"/>
      <c r="M38" s="20" t="n"/>
      <c r="N38" s="20" t="n"/>
      <c r="O38" s="21" t="n"/>
      <c r="P38" s="20" t="n"/>
      <c r="Q38" s="24">
        <f>IF(F38="","",TODAY()-F38)</f>
        <v/>
      </c>
      <c r="R38" s="25">
        <f>IF(OR(F38="",I38="✅ Signed",I38="❌ Declined"),"—",IF(AND(Q38&gt;5,I38="❌ Not yet"),"🔴 FOLLOW UP NOW",IF(AND(Q38&gt;14,I38="🔄 Negotiating"),"🔴 STALLING",IF(AND(Q38&gt;=3,Q38&lt;=5,I38="❌ Not yet"),"🟡 DUE SOON","—"))))</f>
        <v/>
      </c>
    </row>
    <row r="39" ht="18" customHeight="1">
      <c r="A39" s="20" t="n"/>
      <c r="B39" s="20" t="n"/>
      <c r="C39" s="20" t="n"/>
      <c r="D39" s="20" t="n"/>
      <c r="E39" s="20" t="n"/>
      <c r="F39" s="21" t="n"/>
      <c r="G39" s="20" t="n"/>
      <c r="H39" s="20" t="n"/>
      <c r="I39" s="20" t="n"/>
      <c r="J39" s="21" t="n"/>
      <c r="K39" s="20" t="n"/>
      <c r="L39" s="21" t="n"/>
      <c r="M39" s="20" t="n"/>
      <c r="N39" s="20" t="n"/>
      <c r="O39" s="21" t="n"/>
      <c r="P39" s="20" t="n"/>
      <c r="Q39" s="24">
        <f>IF(F39="","",TODAY()-F39)</f>
        <v/>
      </c>
      <c r="R39" s="25">
        <f>IF(OR(F39="",I39="✅ Signed",I39="❌ Declined"),"—",IF(AND(Q39&gt;5,I39="❌ Not yet"),"🔴 FOLLOW UP NOW",IF(AND(Q39&gt;14,I39="🔄 Negotiating"),"🔴 STALLING",IF(AND(Q39&gt;=3,Q39&lt;=5,I39="❌ Not yet"),"🟡 DUE SOON","—"))))</f>
        <v/>
      </c>
    </row>
    <row r="40" ht="18" customHeight="1">
      <c r="A40" s="20" t="n"/>
      <c r="B40" s="20" t="n"/>
      <c r="C40" s="20" t="n"/>
      <c r="D40" s="20" t="n"/>
      <c r="E40" s="20" t="n"/>
      <c r="F40" s="21" t="n"/>
      <c r="G40" s="20" t="n"/>
      <c r="H40" s="20" t="n"/>
      <c r="I40" s="20" t="n"/>
      <c r="J40" s="21" t="n"/>
      <c r="K40" s="20" t="n"/>
      <c r="L40" s="21" t="n"/>
      <c r="M40" s="20" t="n"/>
      <c r="N40" s="20" t="n"/>
      <c r="O40" s="21" t="n"/>
      <c r="P40" s="20" t="n"/>
      <c r="Q40" s="24">
        <f>IF(F40="","",TODAY()-F40)</f>
        <v/>
      </c>
      <c r="R40" s="25">
        <f>IF(OR(F40="",I40="✅ Signed",I40="❌ Declined"),"—",IF(AND(Q40&gt;5,I40="❌ Not yet"),"🔴 FOLLOW UP NOW",IF(AND(Q40&gt;14,I40="🔄 Negotiating"),"🔴 STALLING",IF(AND(Q40&gt;=3,Q40&lt;=5,I40="❌ Not yet"),"🟡 DUE SOON","—"))))</f>
        <v/>
      </c>
    </row>
    <row r="41" ht="18" customHeight="1">
      <c r="A41" s="20" t="n"/>
      <c r="B41" s="20" t="n"/>
      <c r="C41" s="20" t="n"/>
      <c r="D41" s="20" t="n"/>
      <c r="E41" s="20" t="n"/>
      <c r="F41" s="21" t="n"/>
      <c r="G41" s="20" t="n"/>
      <c r="H41" s="20" t="n"/>
      <c r="I41" s="20" t="n"/>
      <c r="J41" s="21" t="n"/>
      <c r="K41" s="20" t="n"/>
      <c r="L41" s="21" t="n"/>
      <c r="M41" s="20" t="n"/>
      <c r="N41" s="20" t="n"/>
      <c r="O41" s="21" t="n"/>
      <c r="P41" s="20" t="n"/>
      <c r="Q41" s="24">
        <f>IF(F41="","",TODAY()-F41)</f>
        <v/>
      </c>
      <c r="R41" s="25">
        <f>IF(OR(F41="",I41="✅ Signed",I41="❌ Declined"),"—",IF(AND(Q41&gt;5,I41="❌ Not yet"),"🔴 FOLLOW UP NOW",IF(AND(Q41&gt;14,I41="🔄 Negotiating"),"🔴 STALLING",IF(AND(Q41&gt;=3,Q41&lt;=5,I41="❌ Not yet"),"🟡 DUE SOON","—"))))</f>
        <v/>
      </c>
    </row>
    <row r="42" ht="18" customHeight="1">
      <c r="A42" s="20" t="n"/>
      <c r="B42" s="20" t="n"/>
      <c r="C42" s="20" t="n"/>
      <c r="D42" s="20" t="n"/>
      <c r="E42" s="20" t="n"/>
      <c r="F42" s="21" t="n"/>
      <c r="G42" s="20" t="n"/>
      <c r="H42" s="20" t="n"/>
      <c r="I42" s="20" t="n"/>
      <c r="J42" s="21" t="n"/>
      <c r="K42" s="20" t="n"/>
      <c r="L42" s="21" t="n"/>
      <c r="M42" s="20" t="n"/>
      <c r="N42" s="20" t="n"/>
      <c r="O42" s="21" t="n"/>
      <c r="P42" s="20" t="n"/>
      <c r="Q42" s="24">
        <f>IF(F42="","",TODAY()-F42)</f>
        <v/>
      </c>
      <c r="R42" s="25">
        <f>IF(OR(F42="",I42="✅ Signed",I42="❌ Declined"),"—",IF(AND(Q42&gt;5,I42="❌ Not yet"),"🔴 FOLLOW UP NOW",IF(AND(Q42&gt;14,I42="🔄 Negotiating"),"🔴 STALLING",IF(AND(Q42&gt;=3,Q42&lt;=5,I42="❌ Not yet"),"🟡 DUE SOON","—"))))</f>
        <v/>
      </c>
    </row>
    <row r="43" ht="18" customHeight="1">
      <c r="A43" s="20" t="n"/>
      <c r="B43" s="20" t="n"/>
      <c r="C43" s="20" t="n"/>
      <c r="D43" s="20" t="n"/>
      <c r="E43" s="20" t="n"/>
      <c r="F43" s="21" t="n"/>
      <c r="G43" s="20" t="n"/>
      <c r="H43" s="20" t="n"/>
      <c r="I43" s="20" t="n"/>
      <c r="J43" s="21" t="n"/>
      <c r="K43" s="20" t="n"/>
      <c r="L43" s="21" t="n"/>
      <c r="M43" s="20" t="n"/>
      <c r="N43" s="20" t="n"/>
      <c r="O43" s="21" t="n"/>
      <c r="P43" s="20" t="n"/>
      <c r="Q43" s="24">
        <f>IF(F43="","",TODAY()-F43)</f>
        <v/>
      </c>
      <c r="R43" s="25">
        <f>IF(OR(F43="",I43="✅ Signed",I43="❌ Declined"),"—",IF(AND(Q43&gt;5,I43="❌ Not yet"),"🔴 FOLLOW UP NOW",IF(AND(Q43&gt;14,I43="🔄 Negotiating"),"🔴 STALLING",IF(AND(Q43&gt;=3,Q43&lt;=5,I43="❌ Not yet"),"🟡 DUE SOON","—"))))</f>
        <v/>
      </c>
    </row>
    <row r="44" ht="18" customHeight="1">
      <c r="A44" s="20" t="n"/>
      <c r="B44" s="20" t="n"/>
      <c r="C44" s="20" t="n"/>
      <c r="D44" s="20" t="n"/>
      <c r="E44" s="20" t="n"/>
      <c r="F44" s="21" t="n"/>
      <c r="G44" s="20" t="n"/>
      <c r="H44" s="20" t="n"/>
      <c r="I44" s="20" t="n"/>
      <c r="J44" s="21" t="n"/>
      <c r="K44" s="20" t="n"/>
      <c r="L44" s="21" t="n"/>
      <c r="M44" s="20" t="n"/>
      <c r="N44" s="20" t="n"/>
      <c r="O44" s="21" t="n"/>
      <c r="P44" s="20" t="n"/>
      <c r="Q44" s="24">
        <f>IF(F44="","",TODAY()-F44)</f>
        <v/>
      </c>
      <c r="R44" s="25">
        <f>IF(OR(F44="",I44="✅ Signed",I44="❌ Declined"),"—",IF(AND(Q44&gt;5,I44="❌ Not yet"),"🔴 FOLLOW UP NOW",IF(AND(Q44&gt;14,I44="🔄 Negotiating"),"🔴 STALLING",IF(AND(Q44&gt;=3,Q44&lt;=5,I44="❌ Not yet"),"🟡 DUE SOON","—"))))</f>
        <v/>
      </c>
    </row>
    <row r="45" ht="18" customHeight="1">
      <c r="A45" s="20" t="n"/>
      <c r="B45" s="20" t="n"/>
      <c r="C45" s="20" t="n"/>
      <c r="D45" s="20" t="n"/>
      <c r="E45" s="20" t="n"/>
      <c r="F45" s="21" t="n"/>
      <c r="G45" s="20" t="n"/>
      <c r="H45" s="20" t="n"/>
      <c r="I45" s="20" t="n"/>
      <c r="J45" s="21" t="n"/>
      <c r="K45" s="20" t="n"/>
      <c r="L45" s="21" t="n"/>
      <c r="M45" s="20" t="n"/>
      <c r="N45" s="20" t="n"/>
      <c r="O45" s="21" t="n"/>
      <c r="P45" s="20" t="n"/>
      <c r="Q45" s="24">
        <f>IF(F45="","",TODAY()-F45)</f>
        <v/>
      </c>
      <c r="R45" s="25">
        <f>IF(OR(F45="",I45="✅ Signed",I45="❌ Declined"),"—",IF(AND(Q45&gt;5,I45="❌ Not yet"),"🔴 FOLLOW UP NOW",IF(AND(Q45&gt;14,I45="🔄 Negotiating"),"🔴 STALLING",IF(AND(Q45&gt;=3,Q45&lt;=5,I45="❌ Not yet"),"🟡 DUE SOON","—"))))</f>
        <v/>
      </c>
    </row>
    <row r="46" ht="18" customHeight="1">
      <c r="A46" s="20" t="n"/>
      <c r="B46" s="20" t="n"/>
      <c r="C46" s="20" t="n"/>
      <c r="D46" s="20" t="n"/>
      <c r="E46" s="20" t="n"/>
      <c r="F46" s="21" t="n"/>
      <c r="G46" s="20" t="n"/>
      <c r="H46" s="20" t="n"/>
      <c r="I46" s="20" t="n"/>
      <c r="J46" s="21" t="n"/>
      <c r="K46" s="20" t="n"/>
      <c r="L46" s="21" t="n"/>
      <c r="M46" s="20" t="n"/>
      <c r="N46" s="20" t="n"/>
      <c r="O46" s="21" t="n"/>
      <c r="P46" s="20" t="n"/>
      <c r="Q46" s="24">
        <f>IF(F46="","",TODAY()-F46)</f>
        <v/>
      </c>
      <c r="R46" s="25">
        <f>IF(OR(F46="",I46="✅ Signed",I46="❌ Declined"),"—",IF(AND(Q46&gt;5,I46="❌ Not yet"),"🔴 FOLLOW UP NOW",IF(AND(Q46&gt;14,I46="🔄 Negotiating"),"🔴 STALLING",IF(AND(Q46&gt;=3,Q46&lt;=5,I46="❌ Not yet"),"🟡 DUE SOON","—"))))</f>
        <v/>
      </c>
    </row>
    <row r="47" ht="18" customHeight="1">
      <c r="A47" s="20" t="n"/>
      <c r="B47" s="20" t="n"/>
      <c r="C47" s="20" t="n"/>
      <c r="D47" s="20" t="n"/>
      <c r="E47" s="20" t="n"/>
      <c r="F47" s="21" t="n"/>
      <c r="G47" s="20" t="n"/>
      <c r="H47" s="20" t="n"/>
      <c r="I47" s="20" t="n"/>
      <c r="J47" s="21" t="n"/>
      <c r="K47" s="20" t="n"/>
      <c r="L47" s="21" t="n"/>
      <c r="M47" s="20" t="n"/>
      <c r="N47" s="20" t="n"/>
      <c r="O47" s="21" t="n"/>
      <c r="P47" s="20" t="n"/>
      <c r="Q47" s="24">
        <f>IF(F47="","",TODAY()-F47)</f>
        <v/>
      </c>
      <c r="R47" s="25">
        <f>IF(OR(F47="",I47="✅ Signed",I47="❌ Declined"),"—",IF(AND(Q47&gt;5,I47="❌ Not yet"),"🔴 FOLLOW UP NOW",IF(AND(Q47&gt;14,I47="🔄 Negotiating"),"🔴 STALLING",IF(AND(Q47&gt;=3,Q47&lt;=5,I47="❌ Not yet"),"🟡 DUE SOON","—"))))</f>
        <v/>
      </c>
    </row>
    <row r="48" ht="18" customHeight="1">
      <c r="A48" s="20" t="n"/>
      <c r="B48" s="20" t="n"/>
      <c r="C48" s="20" t="n"/>
      <c r="D48" s="20" t="n"/>
      <c r="E48" s="20" t="n"/>
      <c r="F48" s="21" t="n"/>
      <c r="G48" s="20" t="n"/>
      <c r="H48" s="20" t="n"/>
      <c r="I48" s="20" t="n"/>
      <c r="J48" s="21" t="n"/>
      <c r="K48" s="20" t="n"/>
      <c r="L48" s="21" t="n"/>
      <c r="M48" s="20" t="n"/>
      <c r="N48" s="20" t="n"/>
      <c r="O48" s="21" t="n"/>
      <c r="P48" s="20" t="n"/>
      <c r="Q48" s="24">
        <f>IF(F48="","",TODAY()-F48)</f>
        <v/>
      </c>
      <c r="R48" s="25">
        <f>IF(OR(F48="",I48="✅ Signed",I48="❌ Declined"),"—",IF(AND(Q48&gt;5,I48="❌ Not yet"),"🔴 FOLLOW UP NOW",IF(AND(Q48&gt;14,I48="🔄 Negotiating"),"🔴 STALLING",IF(AND(Q48&gt;=3,Q48&lt;=5,I48="❌ Not yet"),"🟡 DUE SOON","—"))))</f>
        <v/>
      </c>
    </row>
    <row r="49" ht="18" customHeight="1">
      <c r="A49" s="20" t="n"/>
      <c r="B49" s="20" t="n"/>
      <c r="C49" s="20" t="n"/>
      <c r="D49" s="20" t="n"/>
      <c r="E49" s="20" t="n"/>
      <c r="F49" s="21" t="n"/>
      <c r="G49" s="20" t="n"/>
      <c r="H49" s="20" t="n"/>
      <c r="I49" s="20" t="n"/>
      <c r="J49" s="21" t="n"/>
      <c r="K49" s="20" t="n"/>
      <c r="L49" s="21" t="n"/>
      <c r="M49" s="20" t="n"/>
      <c r="N49" s="20" t="n"/>
      <c r="O49" s="21" t="n"/>
      <c r="P49" s="20" t="n"/>
      <c r="Q49" s="24">
        <f>IF(F49="","",TODAY()-F49)</f>
        <v/>
      </c>
      <c r="R49" s="25">
        <f>IF(OR(F49="",I49="✅ Signed",I49="❌ Declined"),"—",IF(AND(Q49&gt;5,I49="❌ Not yet"),"🔴 FOLLOW UP NOW",IF(AND(Q49&gt;14,I49="🔄 Negotiating"),"🔴 STALLING",IF(AND(Q49&gt;=3,Q49&lt;=5,I49="❌ Not yet"),"🟡 DUE SOON","—"))))</f>
        <v/>
      </c>
    </row>
    <row r="50" ht="18" customHeight="1">
      <c r="A50" s="20" t="n"/>
      <c r="B50" s="20" t="n"/>
      <c r="C50" s="20" t="n"/>
      <c r="D50" s="20" t="n"/>
      <c r="E50" s="20" t="n"/>
      <c r="F50" s="21" t="n"/>
      <c r="G50" s="20" t="n"/>
      <c r="H50" s="20" t="n"/>
      <c r="I50" s="20" t="n"/>
      <c r="J50" s="21" t="n"/>
      <c r="K50" s="20" t="n"/>
      <c r="L50" s="21" t="n"/>
      <c r="M50" s="20" t="n"/>
      <c r="N50" s="20" t="n"/>
      <c r="O50" s="21" t="n"/>
      <c r="P50" s="20" t="n"/>
      <c r="Q50" s="24">
        <f>IF(F50="","",TODAY()-F50)</f>
        <v/>
      </c>
      <c r="R50" s="25">
        <f>IF(OR(F50="",I50="✅ Signed",I50="❌ Declined"),"—",IF(AND(Q50&gt;5,I50="❌ Not yet"),"🔴 FOLLOW UP NOW",IF(AND(Q50&gt;14,I50="🔄 Negotiating"),"🔴 STALLING",IF(AND(Q50&gt;=3,Q50&lt;=5,I50="❌ Not yet"),"🟡 DUE SOON","—"))))</f>
        <v/>
      </c>
    </row>
    <row r="51" ht="18" customHeight="1">
      <c r="A51" s="20" t="n"/>
      <c r="B51" s="20" t="n"/>
      <c r="C51" s="20" t="n"/>
      <c r="D51" s="20" t="n"/>
      <c r="E51" s="20" t="n"/>
      <c r="F51" s="21" t="n"/>
      <c r="G51" s="20" t="n"/>
      <c r="H51" s="20" t="n"/>
      <c r="I51" s="20" t="n"/>
      <c r="J51" s="21" t="n"/>
      <c r="K51" s="20" t="n"/>
      <c r="L51" s="21" t="n"/>
      <c r="M51" s="20" t="n"/>
      <c r="N51" s="20" t="n"/>
      <c r="O51" s="21" t="n"/>
      <c r="P51" s="20" t="n"/>
      <c r="Q51" s="24">
        <f>IF(F51="","",TODAY()-F51)</f>
        <v/>
      </c>
      <c r="R51" s="25">
        <f>IF(OR(F51="",I51="✅ Signed",I51="❌ Declined"),"—",IF(AND(Q51&gt;5,I51="❌ Not yet"),"🔴 FOLLOW UP NOW",IF(AND(Q51&gt;14,I51="🔄 Negotiating"),"🔴 STALLING",IF(AND(Q51&gt;=3,Q51&lt;=5,I51="❌ Not yet"),"🟡 DUE SOON","—"))))</f>
        <v/>
      </c>
    </row>
    <row r="52" ht="18" customHeight="1">
      <c r="A52" s="20" t="n"/>
      <c r="B52" s="20" t="n"/>
      <c r="C52" s="20" t="n"/>
      <c r="D52" s="20" t="n"/>
      <c r="E52" s="20" t="n"/>
      <c r="F52" s="21" t="n"/>
      <c r="G52" s="20" t="n"/>
      <c r="H52" s="20" t="n"/>
      <c r="I52" s="20" t="n"/>
      <c r="J52" s="21" t="n"/>
      <c r="K52" s="20" t="n"/>
      <c r="L52" s="21" t="n"/>
      <c r="M52" s="20" t="n"/>
      <c r="N52" s="20" t="n"/>
      <c r="O52" s="21" t="n"/>
      <c r="P52" s="20" t="n"/>
      <c r="Q52" s="24">
        <f>IF(F52="","",TODAY()-F52)</f>
        <v/>
      </c>
      <c r="R52" s="25">
        <f>IF(OR(F52="",I52="✅ Signed",I52="❌ Declined"),"—",IF(AND(Q52&gt;5,I52="❌ Not yet"),"🔴 FOLLOW UP NOW",IF(AND(Q52&gt;14,I52="🔄 Negotiating"),"🔴 STALLING",IF(AND(Q52&gt;=3,Q52&lt;=5,I52="❌ Not yet"),"🟡 DUE SOON","—"))))</f>
        <v/>
      </c>
    </row>
    <row r="53" ht="18" customHeight="1">
      <c r="A53" s="20" t="n"/>
      <c r="B53" s="20" t="n"/>
      <c r="C53" s="20" t="n"/>
      <c r="D53" s="20" t="n"/>
      <c r="E53" s="20" t="n"/>
      <c r="F53" s="21" t="n"/>
      <c r="G53" s="20" t="n"/>
      <c r="H53" s="20" t="n"/>
      <c r="I53" s="20" t="n"/>
      <c r="J53" s="21" t="n"/>
      <c r="K53" s="20" t="n"/>
      <c r="L53" s="21" t="n"/>
      <c r="M53" s="20" t="n"/>
      <c r="N53" s="20" t="n"/>
      <c r="O53" s="21" t="n"/>
      <c r="P53" s="20" t="n"/>
      <c r="Q53" s="24">
        <f>IF(F53="","",TODAY()-F53)</f>
        <v/>
      </c>
      <c r="R53" s="25">
        <f>IF(OR(F53="",I53="✅ Signed",I53="❌ Declined"),"—",IF(AND(Q53&gt;5,I53="❌ Not yet"),"🔴 FOLLOW UP NOW",IF(AND(Q53&gt;14,I53="🔄 Negotiating"),"🔴 STALLING",IF(AND(Q53&gt;=3,Q53&lt;=5,I53="❌ Not yet"),"🟡 DUE SOON","—"))))</f>
        <v/>
      </c>
    </row>
    <row r="54" ht="18" customHeight="1">
      <c r="A54" s="20" t="n"/>
      <c r="B54" s="20" t="n"/>
      <c r="C54" s="20" t="n"/>
      <c r="D54" s="20" t="n"/>
      <c r="E54" s="20" t="n"/>
      <c r="F54" s="21" t="n"/>
      <c r="G54" s="20" t="n"/>
      <c r="H54" s="20" t="n"/>
      <c r="I54" s="20" t="n"/>
      <c r="J54" s="21" t="n"/>
      <c r="K54" s="20" t="n"/>
      <c r="L54" s="21" t="n"/>
      <c r="M54" s="20" t="n"/>
      <c r="N54" s="20" t="n"/>
      <c r="O54" s="21" t="n"/>
      <c r="P54" s="20" t="n"/>
      <c r="Q54" s="24">
        <f>IF(F54="","",TODAY()-F54)</f>
        <v/>
      </c>
      <c r="R54" s="25">
        <f>IF(OR(F54="",I54="✅ Signed",I54="❌ Declined"),"—",IF(AND(Q54&gt;5,I54="❌ Not yet"),"🔴 FOLLOW UP NOW",IF(AND(Q54&gt;14,I54="🔄 Negotiating"),"🔴 STALLING",IF(AND(Q54&gt;=3,Q54&lt;=5,I54="❌ Not yet"),"🟡 DUE SOON","—"))))</f>
        <v/>
      </c>
    </row>
    <row r="55" ht="18" customHeight="1">
      <c r="A55" s="20" t="n"/>
      <c r="B55" s="20" t="n"/>
      <c r="C55" s="20" t="n"/>
      <c r="D55" s="20" t="n"/>
      <c r="E55" s="20" t="n"/>
      <c r="F55" s="21" t="n"/>
      <c r="G55" s="20" t="n"/>
      <c r="H55" s="20" t="n"/>
      <c r="I55" s="20" t="n"/>
      <c r="J55" s="21" t="n"/>
      <c r="K55" s="20" t="n"/>
      <c r="L55" s="21" t="n"/>
      <c r="M55" s="20" t="n"/>
      <c r="N55" s="20" t="n"/>
      <c r="O55" s="21" t="n"/>
      <c r="P55" s="20" t="n"/>
      <c r="Q55" s="24">
        <f>IF(F55="","",TODAY()-F55)</f>
        <v/>
      </c>
      <c r="R55" s="25">
        <f>IF(OR(F55="",I55="✅ Signed",I55="❌ Declined"),"—",IF(AND(Q55&gt;5,I55="❌ Not yet"),"🔴 FOLLOW UP NOW",IF(AND(Q55&gt;14,I55="🔄 Negotiating"),"🔴 STALLING",IF(AND(Q55&gt;=3,Q55&lt;=5,I55="❌ Not yet"),"🟡 DUE SOON","—"))))</f>
        <v/>
      </c>
    </row>
    <row r="56" ht="18" customHeight="1">
      <c r="A56" s="20" t="n"/>
      <c r="B56" s="20" t="n"/>
      <c r="C56" s="20" t="n"/>
      <c r="D56" s="20" t="n"/>
      <c r="E56" s="20" t="n"/>
      <c r="F56" s="21" t="n"/>
      <c r="G56" s="20" t="n"/>
      <c r="H56" s="20" t="n"/>
      <c r="I56" s="20" t="n"/>
      <c r="J56" s="21" t="n"/>
      <c r="K56" s="20" t="n"/>
      <c r="L56" s="21" t="n"/>
      <c r="M56" s="20" t="n"/>
      <c r="N56" s="20" t="n"/>
      <c r="O56" s="21" t="n"/>
      <c r="P56" s="20" t="n"/>
      <c r="Q56" s="24">
        <f>IF(F56="","",TODAY()-F56)</f>
        <v/>
      </c>
      <c r="R56" s="25">
        <f>IF(OR(F56="",I56="✅ Signed",I56="❌ Declined"),"—",IF(AND(Q56&gt;5,I56="❌ Not yet"),"🔴 FOLLOW UP NOW",IF(AND(Q56&gt;14,I56="🔄 Negotiating"),"🔴 STALLING",IF(AND(Q56&gt;=3,Q56&lt;=5,I56="❌ Not yet"),"🟡 DUE SOON","—"))))</f>
        <v/>
      </c>
    </row>
    <row r="57" ht="18" customHeight="1">
      <c r="A57" s="20" t="n"/>
      <c r="B57" s="20" t="n"/>
      <c r="C57" s="20" t="n"/>
      <c r="D57" s="20" t="n"/>
      <c r="E57" s="20" t="n"/>
      <c r="F57" s="21" t="n"/>
      <c r="G57" s="20" t="n"/>
      <c r="H57" s="20" t="n"/>
      <c r="I57" s="20" t="n"/>
      <c r="J57" s="21" t="n"/>
      <c r="K57" s="20" t="n"/>
      <c r="L57" s="21" t="n"/>
      <c r="M57" s="20" t="n"/>
      <c r="N57" s="20" t="n"/>
      <c r="O57" s="21" t="n"/>
      <c r="P57" s="20" t="n"/>
      <c r="Q57" s="24">
        <f>IF(F57="","",TODAY()-F57)</f>
        <v/>
      </c>
      <c r="R57" s="25">
        <f>IF(OR(F57="",I57="✅ Signed",I57="❌ Declined"),"—",IF(AND(Q57&gt;5,I57="❌ Not yet"),"🔴 FOLLOW UP NOW",IF(AND(Q57&gt;14,I57="🔄 Negotiating"),"🔴 STALLING",IF(AND(Q57&gt;=3,Q57&lt;=5,I57="❌ Not yet"),"🟡 DUE SOON","—"))))</f>
        <v/>
      </c>
    </row>
    <row r="58" ht="18" customHeight="1">
      <c r="A58" s="20" t="n"/>
      <c r="B58" s="20" t="n"/>
      <c r="C58" s="20" t="n"/>
      <c r="D58" s="20" t="n"/>
      <c r="E58" s="20" t="n"/>
      <c r="F58" s="21" t="n"/>
      <c r="G58" s="20" t="n"/>
      <c r="H58" s="20" t="n"/>
      <c r="I58" s="20" t="n"/>
      <c r="J58" s="21" t="n"/>
      <c r="K58" s="20" t="n"/>
      <c r="L58" s="21" t="n"/>
      <c r="M58" s="20" t="n"/>
      <c r="N58" s="20" t="n"/>
      <c r="O58" s="21" t="n"/>
      <c r="P58" s="20" t="n"/>
      <c r="Q58" s="24">
        <f>IF(F58="","",TODAY()-F58)</f>
        <v/>
      </c>
      <c r="R58" s="25">
        <f>IF(OR(F58="",I58="✅ Signed",I58="❌ Declined"),"—",IF(AND(Q58&gt;5,I58="❌ Not yet"),"🔴 FOLLOW UP NOW",IF(AND(Q58&gt;14,I58="🔄 Negotiating"),"🔴 STALLING",IF(AND(Q58&gt;=3,Q58&lt;=5,I58="❌ Not yet"),"🟡 DUE SOON","—"))))</f>
        <v/>
      </c>
    </row>
    <row r="59" ht="18" customHeight="1">
      <c r="A59" s="20" t="n"/>
      <c r="B59" s="20" t="n"/>
      <c r="C59" s="20" t="n"/>
      <c r="D59" s="20" t="n"/>
      <c r="E59" s="20" t="n"/>
      <c r="F59" s="21" t="n"/>
      <c r="G59" s="20" t="n"/>
      <c r="H59" s="20" t="n"/>
      <c r="I59" s="20" t="n"/>
      <c r="J59" s="21" t="n"/>
      <c r="K59" s="20" t="n"/>
      <c r="L59" s="21" t="n"/>
      <c r="M59" s="20" t="n"/>
      <c r="N59" s="20" t="n"/>
      <c r="O59" s="21" t="n"/>
      <c r="P59" s="20" t="n"/>
      <c r="Q59" s="24">
        <f>IF(F59="","",TODAY()-F59)</f>
        <v/>
      </c>
      <c r="R59" s="25">
        <f>IF(OR(F59="",I59="✅ Signed",I59="❌ Declined"),"—",IF(AND(Q59&gt;5,I59="❌ Not yet"),"🔴 FOLLOW UP NOW",IF(AND(Q59&gt;14,I59="🔄 Negotiating"),"🔴 STALLING",IF(AND(Q59&gt;=3,Q59&lt;=5,I59="❌ Not yet"),"🟡 DUE SOON","—"))))</f>
        <v/>
      </c>
    </row>
    <row r="60" ht="18" customHeight="1">
      <c r="A60" s="20" t="n"/>
      <c r="B60" s="20" t="n"/>
      <c r="C60" s="20" t="n"/>
      <c r="D60" s="20" t="n"/>
      <c r="E60" s="20" t="n"/>
      <c r="F60" s="21" t="n"/>
      <c r="G60" s="20" t="n"/>
      <c r="H60" s="20" t="n"/>
      <c r="I60" s="20" t="n"/>
      <c r="J60" s="21" t="n"/>
      <c r="K60" s="20" t="n"/>
      <c r="L60" s="21" t="n"/>
      <c r="M60" s="20" t="n"/>
      <c r="N60" s="20" t="n"/>
      <c r="O60" s="21" t="n"/>
      <c r="P60" s="20" t="n"/>
      <c r="Q60" s="24">
        <f>IF(F60="","",TODAY()-F60)</f>
        <v/>
      </c>
      <c r="R60" s="25">
        <f>IF(OR(F60="",I60="✅ Signed",I60="❌ Declined"),"—",IF(AND(Q60&gt;5,I60="❌ Not yet"),"🔴 FOLLOW UP NOW",IF(AND(Q60&gt;14,I60="🔄 Negotiating"),"🔴 STALLING",IF(AND(Q60&gt;=3,Q60&lt;=5,I60="❌ Not yet"),"🟡 DUE SOON","—"))))</f>
        <v/>
      </c>
    </row>
    <row r="61" ht="18" customHeight="1">
      <c r="A61" s="20" t="n"/>
      <c r="B61" s="20" t="n"/>
      <c r="C61" s="20" t="n"/>
      <c r="D61" s="20" t="n"/>
      <c r="E61" s="20" t="n"/>
      <c r="F61" s="21" t="n"/>
      <c r="G61" s="20" t="n"/>
      <c r="H61" s="20" t="n"/>
      <c r="I61" s="20" t="n"/>
      <c r="J61" s="21" t="n"/>
      <c r="K61" s="20" t="n"/>
      <c r="L61" s="21" t="n"/>
      <c r="M61" s="20" t="n"/>
      <c r="N61" s="20" t="n"/>
      <c r="O61" s="21" t="n"/>
      <c r="P61" s="20" t="n"/>
      <c r="Q61" s="24">
        <f>IF(F61="","",TODAY()-F61)</f>
        <v/>
      </c>
      <c r="R61" s="25">
        <f>IF(OR(F61="",I61="✅ Signed",I61="❌ Declined"),"—",IF(AND(Q61&gt;5,I61="❌ Not yet"),"🔴 FOLLOW UP NOW",IF(AND(Q61&gt;14,I61="🔄 Negotiating"),"🔴 STALLING",IF(AND(Q61&gt;=3,Q61&lt;=5,I61="❌ Not yet"),"🟡 DUE SOON","—"))))</f>
        <v/>
      </c>
    </row>
    <row r="62" ht="18" customHeight="1">
      <c r="A62" s="20" t="n"/>
      <c r="B62" s="20" t="n"/>
      <c r="C62" s="20" t="n"/>
      <c r="D62" s="20" t="n"/>
      <c r="E62" s="20" t="n"/>
      <c r="F62" s="21" t="n"/>
      <c r="G62" s="20" t="n"/>
      <c r="H62" s="20" t="n"/>
      <c r="I62" s="20" t="n"/>
      <c r="J62" s="21" t="n"/>
      <c r="K62" s="20" t="n"/>
      <c r="L62" s="21" t="n"/>
      <c r="M62" s="20" t="n"/>
      <c r="N62" s="20" t="n"/>
      <c r="O62" s="21" t="n"/>
      <c r="P62" s="20" t="n"/>
      <c r="Q62" s="24">
        <f>IF(F62="","",TODAY()-F62)</f>
        <v/>
      </c>
      <c r="R62" s="25">
        <f>IF(OR(F62="",I62="✅ Signed",I62="❌ Declined"),"—",IF(AND(Q62&gt;5,I62="❌ Not yet"),"🔴 FOLLOW UP NOW",IF(AND(Q62&gt;14,I62="🔄 Negotiating"),"🔴 STALLING",IF(AND(Q62&gt;=3,Q62&lt;=5,I62="❌ Not yet"),"🟡 DUE SOON","—"))))</f>
        <v/>
      </c>
    </row>
    <row r="63" ht="18" customHeight="1">
      <c r="A63" s="20" t="n"/>
      <c r="B63" s="20" t="n"/>
      <c r="C63" s="20" t="n"/>
      <c r="D63" s="20" t="n"/>
      <c r="E63" s="20" t="n"/>
      <c r="F63" s="21" t="n"/>
      <c r="G63" s="20" t="n"/>
      <c r="H63" s="20" t="n"/>
      <c r="I63" s="20" t="n"/>
      <c r="J63" s="21" t="n"/>
      <c r="K63" s="20" t="n"/>
      <c r="L63" s="21" t="n"/>
      <c r="M63" s="20" t="n"/>
      <c r="N63" s="20" t="n"/>
      <c r="O63" s="21" t="n"/>
      <c r="P63" s="20" t="n"/>
      <c r="Q63" s="24">
        <f>IF(F63="","",TODAY()-F63)</f>
        <v/>
      </c>
      <c r="R63" s="25">
        <f>IF(OR(F63="",I63="✅ Signed",I63="❌ Declined"),"—",IF(AND(Q63&gt;5,I63="❌ Not yet"),"🔴 FOLLOW UP NOW",IF(AND(Q63&gt;14,I63="🔄 Negotiating"),"🔴 STALLING",IF(AND(Q63&gt;=3,Q63&lt;=5,I63="❌ Not yet"),"🟡 DUE SOON","—"))))</f>
        <v/>
      </c>
    </row>
    <row r="64" ht="18" customHeight="1">
      <c r="A64" s="20" t="n"/>
      <c r="B64" s="20" t="n"/>
      <c r="C64" s="20" t="n"/>
      <c r="D64" s="20" t="n"/>
      <c r="E64" s="20" t="n"/>
      <c r="F64" s="21" t="n"/>
      <c r="G64" s="20" t="n"/>
      <c r="H64" s="20" t="n"/>
      <c r="I64" s="20" t="n"/>
      <c r="J64" s="21" t="n"/>
      <c r="K64" s="20" t="n"/>
      <c r="L64" s="21" t="n"/>
      <c r="M64" s="20" t="n"/>
      <c r="N64" s="20" t="n"/>
      <c r="O64" s="21" t="n"/>
      <c r="P64" s="20" t="n"/>
      <c r="Q64" s="24">
        <f>IF(F64="","",TODAY()-F64)</f>
        <v/>
      </c>
      <c r="R64" s="25">
        <f>IF(OR(F64="",I64="✅ Signed",I64="❌ Declined"),"—",IF(AND(Q64&gt;5,I64="❌ Not yet"),"🔴 FOLLOW UP NOW",IF(AND(Q64&gt;14,I64="🔄 Negotiating"),"🔴 STALLING",IF(AND(Q64&gt;=3,Q64&lt;=5,I64="❌ Not yet"),"🟡 DUE SOON","—"))))</f>
        <v/>
      </c>
    </row>
    <row r="65" ht="18" customHeight="1">
      <c r="A65" s="20" t="n"/>
      <c r="B65" s="20" t="n"/>
      <c r="C65" s="20" t="n"/>
      <c r="D65" s="20" t="n"/>
      <c r="E65" s="20" t="n"/>
      <c r="F65" s="21" t="n"/>
      <c r="G65" s="20" t="n"/>
      <c r="H65" s="20" t="n"/>
      <c r="I65" s="20" t="n"/>
      <c r="J65" s="21" t="n"/>
      <c r="K65" s="20" t="n"/>
      <c r="L65" s="21" t="n"/>
      <c r="M65" s="20" t="n"/>
      <c r="N65" s="20" t="n"/>
      <c r="O65" s="21" t="n"/>
      <c r="P65" s="20" t="n"/>
      <c r="Q65" s="24">
        <f>IF(F65="","",TODAY()-F65)</f>
        <v/>
      </c>
      <c r="R65" s="25">
        <f>IF(OR(F65="",I65="✅ Signed",I65="❌ Declined"),"—",IF(AND(Q65&gt;5,I65="❌ Not yet"),"🔴 FOLLOW UP NOW",IF(AND(Q65&gt;14,I65="🔄 Negotiating"),"🔴 STALLING",IF(AND(Q65&gt;=3,Q65&lt;=5,I65="❌ Not yet"),"🟡 DUE SOON","—"))))</f>
        <v/>
      </c>
    </row>
    <row r="66" ht="18" customHeight="1">
      <c r="A66" s="20" t="n"/>
      <c r="B66" s="20" t="n"/>
      <c r="C66" s="20" t="n"/>
      <c r="D66" s="20" t="n"/>
      <c r="E66" s="20" t="n"/>
      <c r="F66" s="21" t="n"/>
      <c r="G66" s="20" t="n"/>
      <c r="H66" s="20" t="n"/>
      <c r="I66" s="20" t="n"/>
      <c r="J66" s="21" t="n"/>
      <c r="K66" s="20" t="n"/>
      <c r="L66" s="21" t="n"/>
      <c r="M66" s="20" t="n"/>
      <c r="N66" s="20" t="n"/>
      <c r="O66" s="21" t="n"/>
      <c r="P66" s="20" t="n"/>
      <c r="Q66" s="24">
        <f>IF(F66="","",TODAY()-F66)</f>
        <v/>
      </c>
      <c r="R66" s="25">
        <f>IF(OR(F66="",I66="✅ Signed",I66="❌ Declined"),"—",IF(AND(Q66&gt;5,I66="❌ Not yet"),"🔴 FOLLOW UP NOW",IF(AND(Q66&gt;14,I66="🔄 Negotiating"),"🔴 STALLING",IF(AND(Q66&gt;=3,Q66&lt;=5,I66="❌ Not yet"),"🟡 DUE SOON","—"))))</f>
        <v/>
      </c>
    </row>
    <row r="67" ht="18" customHeight="1">
      <c r="A67" s="20" t="n"/>
      <c r="B67" s="20" t="n"/>
      <c r="C67" s="20" t="n"/>
      <c r="D67" s="20" t="n"/>
      <c r="E67" s="20" t="n"/>
      <c r="F67" s="21" t="n"/>
      <c r="G67" s="20" t="n"/>
      <c r="H67" s="20" t="n"/>
      <c r="I67" s="20" t="n"/>
      <c r="J67" s="21" t="n"/>
      <c r="K67" s="20" t="n"/>
      <c r="L67" s="21" t="n"/>
      <c r="M67" s="20" t="n"/>
      <c r="N67" s="20" t="n"/>
      <c r="O67" s="21" t="n"/>
      <c r="P67" s="20" t="n"/>
      <c r="Q67" s="24">
        <f>IF(F67="","",TODAY()-F67)</f>
        <v/>
      </c>
      <c r="R67" s="25">
        <f>IF(OR(F67="",I67="✅ Signed",I67="❌ Declined"),"—",IF(AND(Q67&gt;5,I67="❌ Not yet"),"🔴 FOLLOW UP NOW",IF(AND(Q67&gt;14,I67="🔄 Negotiating"),"🔴 STALLING",IF(AND(Q67&gt;=3,Q67&lt;=5,I67="❌ Not yet"),"🟡 DUE SOON","—"))))</f>
        <v/>
      </c>
    </row>
    <row r="68" ht="18" customHeight="1">
      <c r="A68" s="20" t="n"/>
      <c r="B68" s="20" t="n"/>
      <c r="C68" s="20" t="n"/>
      <c r="D68" s="20" t="n"/>
      <c r="E68" s="20" t="n"/>
      <c r="F68" s="21" t="n"/>
      <c r="G68" s="20" t="n"/>
      <c r="H68" s="20" t="n"/>
      <c r="I68" s="20" t="n"/>
      <c r="J68" s="21" t="n"/>
      <c r="K68" s="20" t="n"/>
      <c r="L68" s="21" t="n"/>
      <c r="M68" s="20" t="n"/>
      <c r="N68" s="20" t="n"/>
      <c r="O68" s="21" t="n"/>
      <c r="P68" s="20" t="n"/>
      <c r="Q68" s="24">
        <f>IF(F68="","",TODAY()-F68)</f>
        <v/>
      </c>
      <c r="R68" s="25">
        <f>IF(OR(F68="",I68="✅ Signed",I68="❌ Declined"),"—",IF(AND(Q68&gt;5,I68="❌ Not yet"),"🔴 FOLLOW UP NOW",IF(AND(Q68&gt;14,I68="🔄 Negotiating"),"🔴 STALLING",IF(AND(Q68&gt;=3,Q68&lt;=5,I68="❌ Not yet"),"🟡 DUE SOON","—"))))</f>
        <v/>
      </c>
    </row>
    <row r="69" ht="18" customHeight="1">
      <c r="A69" s="20" t="n"/>
      <c r="B69" s="20" t="n"/>
      <c r="C69" s="20" t="n"/>
      <c r="D69" s="20" t="n"/>
      <c r="E69" s="20" t="n"/>
      <c r="F69" s="21" t="n"/>
      <c r="G69" s="20" t="n"/>
      <c r="H69" s="20" t="n"/>
      <c r="I69" s="20" t="n"/>
      <c r="J69" s="21" t="n"/>
      <c r="K69" s="20" t="n"/>
      <c r="L69" s="21" t="n"/>
      <c r="M69" s="20" t="n"/>
      <c r="N69" s="20" t="n"/>
      <c r="O69" s="21" t="n"/>
      <c r="P69" s="20" t="n"/>
      <c r="Q69" s="24">
        <f>IF(F69="","",TODAY()-F69)</f>
        <v/>
      </c>
      <c r="R69" s="25">
        <f>IF(OR(F69="",I69="✅ Signed",I69="❌ Declined"),"—",IF(AND(Q69&gt;5,I69="❌ Not yet"),"🔴 FOLLOW UP NOW",IF(AND(Q69&gt;14,I69="🔄 Negotiating"),"🔴 STALLING",IF(AND(Q69&gt;=3,Q69&lt;=5,I69="❌ Not yet"),"🟡 DUE SOON","—"))))</f>
        <v/>
      </c>
    </row>
    <row r="70" ht="18" customHeight="1">
      <c r="A70" s="20" t="n"/>
      <c r="B70" s="20" t="n"/>
      <c r="C70" s="20" t="n"/>
      <c r="D70" s="20" t="n"/>
      <c r="E70" s="20" t="n"/>
      <c r="F70" s="21" t="n"/>
      <c r="G70" s="20" t="n"/>
      <c r="H70" s="20" t="n"/>
      <c r="I70" s="20" t="n"/>
      <c r="J70" s="21" t="n"/>
      <c r="K70" s="20" t="n"/>
      <c r="L70" s="21" t="n"/>
      <c r="M70" s="20" t="n"/>
      <c r="N70" s="20" t="n"/>
      <c r="O70" s="21" t="n"/>
      <c r="P70" s="20" t="n"/>
      <c r="Q70" s="24">
        <f>IF(F70="","",TODAY()-F70)</f>
        <v/>
      </c>
      <c r="R70" s="25">
        <f>IF(OR(F70="",I70="✅ Signed",I70="❌ Declined"),"—",IF(AND(Q70&gt;5,I70="❌ Not yet"),"🔴 FOLLOW UP NOW",IF(AND(Q70&gt;14,I70="🔄 Negotiating"),"🔴 STALLING",IF(AND(Q70&gt;=3,Q70&lt;=5,I70="❌ Not yet"),"🟡 DUE SOON","—"))))</f>
        <v/>
      </c>
    </row>
    <row r="71" ht="18" customHeight="1">
      <c r="A71" s="20" t="n"/>
      <c r="B71" s="20" t="n"/>
      <c r="C71" s="20" t="n"/>
      <c r="D71" s="20" t="n"/>
      <c r="E71" s="20" t="n"/>
      <c r="F71" s="21" t="n"/>
      <c r="G71" s="20" t="n"/>
      <c r="H71" s="20" t="n"/>
      <c r="I71" s="20" t="n"/>
      <c r="J71" s="21" t="n"/>
      <c r="K71" s="20" t="n"/>
      <c r="L71" s="21" t="n"/>
      <c r="M71" s="20" t="n"/>
      <c r="N71" s="20" t="n"/>
      <c r="O71" s="21" t="n"/>
      <c r="P71" s="20" t="n"/>
      <c r="Q71" s="24">
        <f>IF(F71="","",TODAY()-F71)</f>
        <v/>
      </c>
      <c r="R71" s="25">
        <f>IF(OR(F71="",I71="✅ Signed",I71="❌ Declined"),"—",IF(AND(Q71&gt;5,I71="❌ Not yet"),"🔴 FOLLOW UP NOW",IF(AND(Q71&gt;14,I71="🔄 Negotiating"),"🔴 STALLING",IF(AND(Q71&gt;=3,Q71&lt;=5,I71="❌ Not yet"),"🟡 DUE SOON","—"))))</f>
        <v/>
      </c>
    </row>
    <row r="72" ht="18" customHeight="1">
      <c r="A72" s="20" t="n"/>
      <c r="B72" s="20" t="n"/>
      <c r="C72" s="20" t="n"/>
      <c r="D72" s="20" t="n"/>
      <c r="E72" s="20" t="n"/>
      <c r="F72" s="21" t="n"/>
      <c r="G72" s="20" t="n"/>
      <c r="H72" s="20" t="n"/>
      <c r="I72" s="20" t="n"/>
      <c r="J72" s="21" t="n"/>
      <c r="K72" s="20" t="n"/>
      <c r="L72" s="21" t="n"/>
      <c r="M72" s="20" t="n"/>
      <c r="N72" s="20" t="n"/>
      <c r="O72" s="21" t="n"/>
      <c r="P72" s="20" t="n"/>
      <c r="Q72" s="24">
        <f>IF(F72="","",TODAY()-F72)</f>
        <v/>
      </c>
      <c r="R72" s="25">
        <f>IF(OR(F72="",I72="✅ Signed",I72="❌ Declined"),"—",IF(AND(Q72&gt;5,I72="❌ Not yet"),"🔴 FOLLOW UP NOW",IF(AND(Q72&gt;14,I72="🔄 Negotiating"),"🔴 STALLING",IF(AND(Q72&gt;=3,Q72&lt;=5,I72="❌ Not yet"),"🟡 DUE SOON","—"))))</f>
        <v/>
      </c>
    </row>
    <row r="73" ht="18" customHeight="1">
      <c r="A73" s="20" t="n"/>
      <c r="B73" s="20" t="n"/>
      <c r="C73" s="20" t="n"/>
      <c r="D73" s="20" t="n"/>
      <c r="E73" s="20" t="n"/>
      <c r="F73" s="21" t="n"/>
      <c r="G73" s="20" t="n"/>
      <c r="H73" s="20" t="n"/>
      <c r="I73" s="20" t="n"/>
      <c r="J73" s="21" t="n"/>
      <c r="K73" s="20" t="n"/>
      <c r="L73" s="21" t="n"/>
      <c r="M73" s="20" t="n"/>
      <c r="N73" s="20" t="n"/>
      <c r="O73" s="21" t="n"/>
      <c r="P73" s="20" t="n"/>
      <c r="Q73" s="24">
        <f>IF(F73="","",TODAY()-F73)</f>
        <v/>
      </c>
      <c r="R73" s="25">
        <f>IF(OR(F73="",I73="✅ Signed",I73="❌ Declined"),"—",IF(AND(Q73&gt;5,I73="❌ Not yet"),"🔴 FOLLOW UP NOW",IF(AND(Q73&gt;14,I73="🔄 Negotiating"),"🔴 STALLING",IF(AND(Q73&gt;=3,Q73&lt;=5,I73="❌ Not yet"),"🟡 DUE SOON","—"))))</f>
        <v/>
      </c>
    </row>
    <row r="74" ht="18" customHeight="1">
      <c r="A74" s="20" t="n"/>
      <c r="B74" s="20" t="n"/>
      <c r="C74" s="20" t="n"/>
      <c r="D74" s="20" t="n"/>
      <c r="E74" s="20" t="n"/>
      <c r="F74" s="21" t="n"/>
      <c r="G74" s="20" t="n"/>
      <c r="H74" s="20" t="n"/>
      <c r="I74" s="20" t="n"/>
      <c r="J74" s="21" t="n"/>
      <c r="K74" s="20" t="n"/>
      <c r="L74" s="21" t="n"/>
      <c r="M74" s="20" t="n"/>
      <c r="N74" s="20" t="n"/>
      <c r="O74" s="21" t="n"/>
      <c r="P74" s="20" t="n"/>
      <c r="Q74" s="24">
        <f>IF(F74="","",TODAY()-F74)</f>
        <v/>
      </c>
      <c r="R74" s="25">
        <f>IF(OR(F74="",I74="✅ Signed",I74="❌ Declined"),"—",IF(AND(Q74&gt;5,I74="❌ Not yet"),"🔴 FOLLOW UP NOW",IF(AND(Q74&gt;14,I74="🔄 Negotiating"),"🔴 STALLING",IF(AND(Q74&gt;=3,Q74&lt;=5,I74="❌ Not yet"),"🟡 DUE SOON","—"))))</f>
        <v/>
      </c>
    </row>
    <row r="75" ht="18" customHeight="1">
      <c r="A75" s="20" t="n"/>
      <c r="B75" s="20" t="n"/>
      <c r="C75" s="20" t="n"/>
      <c r="D75" s="20" t="n"/>
      <c r="E75" s="20" t="n"/>
      <c r="F75" s="21" t="n"/>
      <c r="G75" s="20" t="n"/>
      <c r="H75" s="20" t="n"/>
      <c r="I75" s="20" t="n"/>
      <c r="J75" s="21" t="n"/>
      <c r="K75" s="20" t="n"/>
      <c r="L75" s="21" t="n"/>
      <c r="M75" s="20" t="n"/>
      <c r="N75" s="20" t="n"/>
      <c r="O75" s="21" t="n"/>
      <c r="P75" s="20" t="n"/>
      <c r="Q75" s="24">
        <f>IF(F75="","",TODAY()-F75)</f>
        <v/>
      </c>
      <c r="R75" s="25">
        <f>IF(OR(F75="",I75="✅ Signed",I75="❌ Declined"),"—",IF(AND(Q75&gt;5,I75="❌ Not yet"),"🔴 FOLLOW UP NOW",IF(AND(Q75&gt;14,I75="🔄 Negotiating"),"🔴 STALLING",IF(AND(Q75&gt;=3,Q75&lt;=5,I75="❌ Not yet"),"🟡 DUE SOON","—"))))</f>
        <v/>
      </c>
    </row>
    <row r="76" ht="18" customHeight="1">
      <c r="A76" s="20" t="n"/>
      <c r="B76" s="20" t="n"/>
      <c r="C76" s="20" t="n"/>
      <c r="D76" s="20" t="n"/>
      <c r="E76" s="20" t="n"/>
      <c r="F76" s="21" t="n"/>
      <c r="G76" s="20" t="n"/>
      <c r="H76" s="20" t="n"/>
      <c r="I76" s="20" t="n"/>
      <c r="J76" s="21" t="n"/>
      <c r="K76" s="20" t="n"/>
      <c r="L76" s="21" t="n"/>
      <c r="M76" s="20" t="n"/>
      <c r="N76" s="20" t="n"/>
      <c r="O76" s="21" t="n"/>
      <c r="P76" s="20" t="n"/>
      <c r="Q76" s="24">
        <f>IF(F76="","",TODAY()-F76)</f>
        <v/>
      </c>
      <c r="R76" s="25">
        <f>IF(OR(F76="",I76="✅ Signed",I76="❌ Declined"),"—",IF(AND(Q76&gt;5,I76="❌ Not yet"),"🔴 FOLLOW UP NOW",IF(AND(Q76&gt;14,I76="🔄 Negotiating"),"🔴 STALLING",IF(AND(Q76&gt;=3,Q76&lt;=5,I76="❌ Not yet"),"🟡 DUE SOON","—"))))</f>
        <v/>
      </c>
    </row>
    <row r="77" ht="18" customHeight="1">
      <c r="A77" s="20" t="n"/>
      <c r="B77" s="20" t="n"/>
      <c r="C77" s="20" t="n"/>
      <c r="D77" s="20" t="n"/>
      <c r="E77" s="20" t="n"/>
      <c r="F77" s="21" t="n"/>
      <c r="G77" s="20" t="n"/>
      <c r="H77" s="20" t="n"/>
      <c r="I77" s="20" t="n"/>
      <c r="J77" s="21" t="n"/>
      <c r="K77" s="20" t="n"/>
      <c r="L77" s="21" t="n"/>
      <c r="M77" s="20" t="n"/>
      <c r="N77" s="20" t="n"/>
      <c r="O77" s="21" t="n"/>
      <c r="P77" s="20" t="n"/>
      <c r="Q77" s="24">
        <f>IF(F77="","",TODAY()-F77)</f>
        <v/>
      </c>
      <c r="R77" s="25">
        <f>IF(OR(F77="",I77="✅ Signed",I77="❌ Declined"),"—",IF(AND(Q77&gt;5,I77="❌ Not yet"),"🔴 FOLLOW UP NOW",IF(AND(Q77&gt;14,I77="🔄 Negotiating"),"🔴 STALLING",IF(AND(Q77&gt;=3,Q77&lt;=5,I77="❌ Not yet"),"🟡 DUE SOON","—"))))</f>
        <v/>
      </c>
    </row>
    <row r="78" ht="18" customHeight="1">
      <c r="A78" s="20" t="n"/>
      <c r="B78" s="20" t="n"/>
      <c r="C78" s="20" t="n"/>
      <c r="D78" s="20" t="n"/>
      <c r="E78" s="20" t="n"/>
      <c r="F78" s="21" t="n"/>
      <c r="G78" s="20" t="n"/>
      <c r="H78" s="20" t="n"/>
      <c r="I78" s="20" t="n"/>
      <c r="J78" s="21" t="n"/>
      <c r="K78" s="20" t="n"/>
      <c r="L78" s="21" t="n"/>
      <c r="M78" s="20" t="n"/>
      <c r="N78" s="20" t="n"/>
      <c r="O78" s="21" t="n"/>
      <c r="P78" s="20" t="n"/>
      <c r="Q78" s="24">
        <f>IF(F78="","",TODAY()-F78)</f>
        <v/>
      </c>
      <c r="R78" s="25">
        <f>IF(OR(F78="",I78="✅ Signed",I78="❌ Declined"),"—",IF(AND(Q78&gt;5,I78="❌ Not yet"),"🔴 FOLLOW UP NOW",IF(AND(Q78&gt;14,I78="🔄 Negotiating"),"🔴 STALLING",IF(AND(Q78&gt;=3,Q78&lt;=5,I78="❌ Not yet"),"🟡 DUE SOON","—"))))</f>
        <v/>
      </c>
    </row>
    <row r="79" ht="18" customHeight="1">
      <c r="A79" s="20" t="n"/>
      <c r="B79" s="20" t="n"/>
      <c r="C79" s="20" t="n"/>
      <c r="D79" s="20" t="n"/>
      <c r="E79" s="20" t="n"/>
      <c r="F79" s="21" t="n"/>
      <c r="G79" s="20" t="n"/>
      <c r="H79" s="20" t="n"/>
      <c r="I79" s="20" t="n"/>
      <c r="J79" s="21" t="n"/>
      <c r="K79" s="20" t="n"/>
      <c r="L79" s="21" t="n"/>
      <c r="M79" s="20" t="n"/>
      <c r="N79" s="20" t="n"/>
      <c r="O79" s="21" t="n"/>
      <c r="P79" s="20" t="n"/>
      <c r="Q79" s="24">
        <f>IF(F79="","",TODAY()-F79)</f>
        <v/>
      </c>
      <c r="R79" s="25">
        <f>IF(OR(F79="",I79="✅ Signed",I79="❌ Declined"),"—",IF(AND(Q79&gt;5,I79="❌ Not yet"),"🔴 FOLLOW UP NOW",IF(AND(Q79&gt;14,I79="🔄 Negotiating"),"🔴 STALLING",IF(AND(Q79&gt;=3,Q79&lt;=5,I79="❌ Not yet"),"🟡 DUE SOON","—"))))</f>
        <v/>
      </c>
    </row>
    <row r="80" ht="18" customHeight="1">
      <c r="A80" s="20" t="n"/>
      <c r="B80" s="20" t="n"/>
      <c r="C80" s="20" t="n"/>
      <c r="D80" s="20" t="n"/>
      <c r="E80" s="20" t="n"/>
      <c r="F80" s="21" t="n"/>
      <c r="G80" s="20" t="n"/>
      <c r="H80" s="20" t="n"/>
      <c r="I80" s="20" t="n"/>
      <c r="J80" s="21" t="n"/>
      <c r="K80" s="20" t="n"/>
      <c r="L80" s="21" t="n"/>
      <c r="M80" s="20" t="n"/>
      <c r="N80" s="20" t="n"/>
      <c r="O80" s="21" t="n"/>
      <c r="P80" s="20" t="n"/>
      <c r="Q80" s="24">
        <f>IF(F80="","",TODAY()-F80)</f>
        <v/>
      </c>
      <c r="R80" s="25">
        <f>IF(OR(F80="",I80="✅ Signed",I80="❌ Declined"),"—",IF(AND(Q80&gt;5,I80="❌ Not yet"),"🔴 FOLLOW UP NOW",IF(AND(Q80&gt;14,I80="🔄 Negotiating"),"🔴 STALLING",IF(AND(Q80&gt;=3,Q80&lt;=5,I80="❌ Not yet"),"🟡 DUE SOON","—"))))</f>
        <v/>
      </c>
    </row>
    <row r="81" ht="18" customHeight="1">
      <c r="A81" s="20" t="n"/>
      <c r="B81" s="20" t="n"/>
      <c r="C81" s="20" t="n"/>
      <c r="D81" s="20" t="n"/>
      <c r="E81" s="20" t="n"/>
      <c r="F81" s="21" t="n"/>
      <c r="G81" s="20" t="n"/>
      <c r="H81" s="20" t="n"/>
      <c r="I81" s="20" t="n"/>
      <c r="J81" s="21" t="n"/>
      <c r="K81" s="20" t="n"/>
      <c r="L81" s="21" t="n"/>
      <c r="M81" s="20" t="n"/>
      <c r="N81" s="20" t="n"/>
      <c r="O81" s="21" t="n"/>
      <c r="P81" s="20" t="n"/>
      <c r="Q81" s="24">
        <f>IF(F81="","",TODAY()-F81)</f>
        <v/>
      </c>
      <c r="R81" s="25">
        <f>IF(OR(F81="",I81="✅ Signed",I81="❌ Declined"),"—",IF(AND(Q81&gt;5,I81="❌ Not yet"),"🔴 FOLLOW UP NOW",IF(AND(Q81&gt;14,I81="🔄 Negotiating"),"🔴 STALLING",IF(AND(Q81&gt;=3,Q81&lt;=5,I81="❌ Not yet"),"🟡 DUE SOON","—"))))</f>
        <v/>
      </c>
    </row>
    <row r="82" ht="18" customHeight="1">
      <c r="A82" s="20" t="n"/>
      <c r="B82" s="20" t="n"/>
      <c r="C82" s="20" t="n"/>
      <c r="D82" s="20" t="n"/>
      <c r="E82" s="20" t="n"/>
      <c r="F82" s="21" t="n"/>
      <c r="G82" s="20" t="n"/>
      <c r="H82" s="20" t="n"/>
      <c r="I82" s="20" t="n"/>
      <c r="J82" s="21" t="n"/>
      <c r="K82" s="20" t="n"/>
      <c r="L82" s="21" t="n"/>
      <c r="M82" s="20" t="n"/>
      <c r="N82" s="20" t="n"/>
      <c r="O82" s="21" t="n"/>
      <c r="P82" s="20" t="n"/>
      <c r="Q82" s="24">
        <f>IF(F82="","",TODAY()-F82)</f>
        <v/>
      </c>
      <c r="R82" s="25">
        <f>IF(OR(F82="",I82="✅ Signed",I82="❌ Declined"),"—",IF(AND(Q82&gt;5,I82="❌ Not yet"),"🔴 FOLLOW UP NOW",IF(AND(Q82&gt;14,I82="🔄 Negotiating"),"🔴 STALLING",IF(AND(Q82&gt;=3,Q82&lt;=5,I82="❌ Not yet"),"🟡 DUE SOON","—"))))</f>
        <v/>
      </c>
    </row>
    <row r="83" ht="18" customHeight="1">
      <c r="A83" s="20" t="n"/>
      <c r="B83" s="20" t="n"/>
      <c r="C83" s="20" t="n"/>
      <c r="D83" s="20" t="n"/>
      <c r="E83" s="20" t="n"/>
      <c r="F83" s="21" t="n"/>
      <c r="G83" s="20" t="n"/>
      <c r="H83" s="20" t="n"/>
      <c r="I83" s="20" t="n"/>
      <c r="J83" s="21" t="n"/>
      <c r="K83" s="20" t="n"/>
      <c r="L83" s="21" t="n"/>
      <c r="M83" s="20" t="n"/>
      <c r="N83" s="20" t="n"/>
      <c r="O83" s="21" t="n"/>
      <c r="P83" s="20" t="n"/>
      <c r="Q83" s="24">
        <f>IF(F83="","",TODAY()-F83)</f>
        <v/>
      </c>
      <c r="R83" s="25">
        <f>IF(OR(F83="",I83="✅ Signed",I83="❌ Declined"),"—",IF(AND(Q83&gt;5,I83="❌ Not yet"),"🔴 FOLLOW UP NOW",IF(AND(Q83&gt;14,I83="🔄 Negotiating"),"🔴 STALLING",IF(AND(Q83&gt;=3,Q83&lt;=5,I83="❌ Not yet"),"🟡 DUE SOON","—"))))</f>
        <v/>
      </c>
    </row>
    <row r="84" ht="18" customHeight="1">
      <c r="A84" s="20" t="n"/>
      <c r="B84" s="20" t="n"/>
      <c r="C84" s="20" t="n"/>
      <c r="D84" s="20" t="n"/>
      <c r="E84" s="20" t="n"/>
      <c r="F84" s="21" t="n"/>
      <c r="G84" s="20" t="n"/>
      <c r="H84" s="20" t="n"/>
      <c r="I84" s="20" t="n"/>
      <c r="J84" s="21" t="n"/>
      <c r="K84" s="20" t="n"/>
      <c r="L84" s="21" t="n"/>
      <c r="M84" s="20" t="n"/>
      <c r="N84" s="20" t="n"/>
      <c r="O84" s="21" t="n"/>
      <c r="P84" s="20" t="n"/>
      <c r="Q84" s="24">
        <f>IF(F84="","",TODAY()-F84)</f>
        <v/>
      </c>
      <c r="R84" s="25">
        <f>IF(OR(F84="",I84="✅ Signed",I84="❌ Declined"),"—",IF(AND(Q84&gt;5,I84="❌ Not yet"),"🔴 FOLLOW UP NOW",IF(AND(Q84&gt;14,I84="🔄 Negotiating"),"🔴 STALLING",IF(AND(Q84&gt;=3,Q84&lt;=5,I84="❌ Not yet"),"🟡 DUE SOON","—"))))</f>
        <v/>
      </c>
    </row>
    <row r="85" ht="18" customHeight="1">
      <c r="A85" s="20" t="n"/>
      <c r="B85" s="20" t="n"/>
      <c r="C85" s="20" t="n"/>
      <c r="D85" s="20" t="n"/>
      <c r="E85" s="20" t="n"/>
      <c r="F85" s="21" t="n"/>
      <c r="G85" s="20" t="n"/>
      <c r="H85" s="20" t="n"/>
      <c r="I85" s="20" t="n"/>
      <c r="J85" s="21" t="n"/>
      <c r="K85" s="20" t="n"/>
      <c r="L85" s="21" t="n"/>
      <c r="M85" s="20" t="n"/>
      <c r="N85" s="20" t="n"/>
      <c r="O85" s="21" t="n"/>
      <c r="P85" s="20" t="n"/>
      <c r="Q85" s="24">
        <f>IF(F85="","",TODAY()-F85)</f>
        <v/>
      </c>
      <c r="R85" s="25">
        <f>IF(OR(F85="",I85="✅ Signed",I85="❌ Declined"),"—",IF(AND(Q85&gt;5,I85="❌ Not yet"),"🔴 FOLLOW UP NOW",IF(AND(Q85&gt;14,I85="🔄 Negotiating"),"🔴 STALLING",IF(AND(Q85&gt;=3,Q85&lt;=5,I85="❌ Not yet"),"🟡 DUE SOON","—"))))</f>
        <v/>
      </c>
    </row>
    <row r="86" ht="18" customHeight="1">
      <c r="A86" s="20" t="n"/>
      <c r="B86" s="20" t="n"/>
      <c r="C86" s="20" t="n"/>
      <c r="D86" s="20" t="n"/>
      <c r="E86" s="20" t="n"/>
      <c r="F86" s="21" t="n"/>
      <c r="G86" s="20" t="n"/>
      <c r="H86" s="20" t="n"/>
      <c r="I86" s="20" t="n"/>
      <c r="J86" s="21" t="n"/>
      <c r="K86" s="20" t="n"/>
      <c r="L86" s="21" t="n"/>
      <c r="M86" s="20" t="n"/>
      <c r="N86" s="20" t="n"/>
      <c r="O86" s="21" t="n"/>
      <c r="P86" s="20" t="n"/>
      <c r="Q86" s="24">
        <f>IF(F86="","",TODAY()-F86)</f>
        <v/>
      </c>
      <c r="R86" s="25">
        <f>IF(OR(F86="",I86="✅ Signed",I86="❌ Declined"),"—",IF(AND(Q86&gt;5,I86="❌ Not yet"),"🔴 FOLLOW UP NOW",IF(AND(Q86&gt;14,I86="🔄 Negotiating"),"🔴 STALLING",IF(AND(Q86&gt;=3,Q86&lt;=5,I86="❌ Not yet"),"🟡 DUE SOON","—"))))</f>
        <v/>
      </c>
    </row>
    <row r="87" ht="18" customHeight="1">
      <c r="A87" s="20" t="n"/>
      <c r="B87" s="20" t="n"/>
      <c r="C87" s="20" t="n"/>
      <c r="D87" s="20" t="n"/>
      <c r="E87" s="20" t="n"/>
      <c r="F87" s="21" t="n"/>
      <c r="G87" s="20" t="n"/>
      <c r="H87" s="20" t="n"/>
      <c r="I87" s="20" t="n"/>
      <c r="J87" s="21" t="n"/>
      <c r="K87" s="20" t="n"/>
      <c r="L87" s="21" t="n"/>
      <c r="M87" s="20" t="n"/>
      <c r="N87" s="20" t="n"/>
      <c r="O87" s="21" t="n"/>
      <c r="P87" s="20" t="n"/>
      <c r="Q87" s="24">
        <f>IF(F87="","",TODAY()-F87)</f>
        <v/>
      </c>
      <c r="R87" s="25">
        <f>IF(OR(F87="",I87="✅ Signed",I87="❌ Declined"),"—",IF(AND(Q87&gt;5,I87="❌ Not yet"),"🔴 FOLLOW UP NOW",IF(AND(Q87&gt;14,I87="🔄 Negotiating"),"🔴 STALLING",IF(AND(Q87&gt;=3,Q87&lt;=5,I87="❌ Not yet"),"🟡 DUE SOON","—"))))</f>
        <v/>
      </c>
    </row>
    <row r="88" ht="18" customHeight="1">
      <c r="A88" s="20" t="n"/>
      <c r="B88" s="20" t="n"/>
      <c r="C88" s="20" t="n"/>
      <c r="D88" s="20" t="n"/>
      <c r="E88" s="20" t="n"/>
      <c r="F88" s="21" t="n"/>
      <c r="G88" s="20" t="n"/>
      <c r="H88" s="20" t="n"/>
      <c r="I88" s="20" t="n"/>
      <c r="J88" s="21" t="n"/>
      <c r="K88" s="20" t="n"/>
      <c r="L88" s="21" t="n"/>
      <c r="M88" s="20" t="n"/>
      <c r="N88" s="20" t="n"/>
      <c r="O88" s="21" t="n"/>
      <c r="P88" s="20" t="n"/>
      <c r="Q88" s="24">
        <f>IF(F88="","",TODAY()-F88)</f>
        <v/>
      </c>
      <c r="R88" s="25">
        <f>IF(OR(F88="",I88="✅ Signed",I88="❌ Declined"),"—",IF(AND(Q88&gt;5,I88="❌ Not yet"),"🔴 FOLLOW UP NOW",IF(AND(Q88&gt;14,I88="🔄 Negotiating"),"🔴 STALLING",IF(AND(Q88&gt;=3,Q88&lt;=5,I88="❌ Not yet"),"🟡 DUE SOON","—"))))</f>
        <v/>
      </c>
    </row>
    <row r="89" ht="18" customHeight="1">
      <c r="A89" s="20" t="n"/>
      <c r="B89" s="20" t="n"/>
      <c r="C89" s="20" t="n"/>
      <c r="D89" s="20" t="n"/>
      <c r="E89" s="20" t="n"/>
      <c r="F89" s="21" t="n"/>
      <c r="G89" s="20" t="n"/>
      <c r="H89" s="20" t="n"/>
      <c r="I89" s="20" t="n"/>
      <c r="J89" s="21" t="n"/>
      <c r="K89" s="20" t="n"/>
      <c r="L89" s="21" t="n"/>
      <c r="M89" s="20" t="n"/>
      <c r="N89" s="20" t="n"/>
      <c r="O89" s="21" t="n"/>
      <c r="P89" s="20" t="n"/>
      <c r="Q89" s="24">
        <f>IF(F89="","",TODAY()-F89)</f>
        <v/>
      </c>
      <c r="R89" s="25">
        <f>IF(OR(F89="",I89="✅ Signed",I89="❌ Declined"),"—",IF(AND(Q89&gt;5,I89="❌ Not yet"),"🔴 FOLLOW UP NOW",IF(AND(Q89&gt;14,I89="🔄 Negotiating"),"🔴 STALLING",IF(AND(Q89&gt;=3,Q89&lt;=5,I89="❌ Not yet"),"🟡 DUE SOON","—"))))</f>
        <v/>
      </c>
    </row>
    <row r="90" ht="18" customHeight="1">
      <c r="A90" s="20" t="n"/>
      <c r="B90" s="20" t="n"/>
      <c r="C90" s="20" t="n"/>
      <c r="D90" s="20" t="n"/>
      <c r="E90" s="20" t="n"/>
      <c r="F90" s="21" t="n"/>
      <c r="G90" s="20" t="n"/>
      <c r="H90" s="20" t="n"/>
      <c r="I90" s="20" t="n"/>
      <c r="J90" s="21" t="n"/>
      <c r="K90" s="20" t="n"/>
      <c r="L90" s="21" t="n"/>
      <c r="M90" s="20" t="n"/>
      <c r="N90" s="20" t="n"/>
      <c r="O90" s="21" t="n"/>
      <c r="P90" s="20" t="n"/>
      <c r="Q90" s="24">
        <f>IF(F90="","",TODAY()-F90)</f>
        <v/>
      </c>
      <c r="R90" s="25">
        <f>IF(OR(F90="",I90="✅ Signed",I90="❌ Declined"),"—",IF(AND(Q90&gt;5,I90="❌ Not yet"),"🔴 FOLLOW UP NOW",IF(AND(Q90&gt;14,I90="🔄 Negotiating"),"🔴 STALLING",IF(AND(Q90&gt;=3,Q90&lt;=5,I90="❌ Not yet"),"🟡 DUE SOON","—"))))</f>
        <v/>
      </c>
    </row>
    <row r="91" ht="18" customHeight="1">
      <c r="A91" s="20" t="n"/>
      <c r="B91" s="20" t="n"/>
      <c r="C91" s="20" t="n"/>
      <c r="D91" s="20" t="n"/>
      <c r="E91" s="20" t="n"/>
      <c r="F91" s="21" t="n"/>
      <c r="G91" s="20" t="n"/>
      <c r="H91" s="20" t="n"/>
      <c r="I91" s="20" t="n"/>
      <c r="J91" s="21" t="n"/>
      <c r="K91" s="20" t="n"/>
      <c r="L91" s="21" t="n"/>
      <c r="M91" s="20" t="n"/>
      <c r="N91" s="20" t="n"/>
      <c r="O91" s="21" t="n"/>
      <c r="P91" s="20" t="n"/>
      <c r="Q91" s="24">
        <f>IF(F91="","",TODAY()-F91)</f>
        <v/>
      </c>
      <c r="R91" s="25">
        <f>IF(OR(F91="",I91="✅ Signed",I91="❌ Declined"),"—",IF(AND(Q91&gt;5,I91="❌ Not yet"),"🔴 FOLLOW UP NOW",IF(AND(Q91&gt;14,I91="🔄 Negotiating"),"🔴 STALLING",IF(AND(Q91&gt;=3,Q91&lt;=5,I91="❌ Not yet"),"🟡 DUE SOON","—"))))</f>
        <v/>
      </c>
    </row>
    <row r="92" ht="18" customHeight="1">
      <c r="A92" s="20" t="n"/>
      <c r="B92" s="20" t="n"/>
      <c r="C92" s="20" t="n"/>
      <c r="D92" s="20" t="n"/>
      <c r="E92" s="20" t="n"/>
      <c r="F92" s="21" t="n"/>
      <c r="G92" s="20" t="n"/>
      <c r="H92" s="20" t="n"/>
      <c r="I92" s="20" t="n"/>
      <c r="J92" s="21" t="n"/>
      <c r="K92" s="20" t="n"/>
      <c r="L92" s="21" t="n"/>
      <c r="M92" s="20" t="n"/>
      <c r="N92" s="20" t="n"/>
      <c r="O92" s="21" t="n"/>
      <c r="P92" s="20" t="n"/>
      <c r="Q92" s="24">
        <f>IF(F92="","",TODAY()-F92)</f>
        <v/>
      </c>
      <c r="R92" s="25">
        <f>IF(OR(F92="",I92="✅ Signed",I92="❌ Declined"),"—",IF(AND(Q92&gt;5,I92="❌ Not yet"),"🔴 FOLLOW UP NOW",IF(AND(Q92&gt;14,I92="🔄 Negotiating"),"🔴 STALLING",IF(AND(Q92&gt;=3,Q92&lt;=5,I92="❌ Not yet"),"🟡 DUE SOON","—"))))</f>
        <v/>
      </c>
    </row>
    <row r="93" ht="18" customHeight="1">
      <c r="A93" s="20" t="n"/>
      <c r="B93" s="20" t="n"/>
      <c r="C93" s="20" t="n"/>
      <c r="D93" s="20" t="n"/>
      <c r="E93" s="20" t="n"/>
      <c r="F93" s="21" t="n"/>
      <c r="G93" s="20" t="n"/>
      <c r="H93" s="20" t="n"/>
      <c r="I93" s="20" t="n"/>
      <c r="J93" s="21" t="n"/>
      <c r="K93" s="20" t="n"/>
      <c r="L93" s="21" t="n"/>
      <c r="M93" s="20" t="n"/>
      <c r="N93" s="20" t="n"/>
      <c r="O93" s="21" t="n"/>
      <c r="P93" s="20" t="n"/>
      <c r="Q93" s="24">
        <f>IF(F93="","",TODAY()-F93)</f>
        <v/>
      </c>
      <c r="R93" s="25">
        <f>IF(OR(F93="",I93="✅ Signed",I93="❌ Declined"),"—",IF(AND(Q93&gt;5,I93="❌ Not yet"),"🔴 FOLLOW UP NOW",IF(AND(Q93&gt;14,I93="🔄 Negotiating"),"🔴 STALLING",IF(AND(Q93&gt;=3,Q93&lt;=5,I93="❌ Not yet"),"🟡 DUE SOON","—"))))</f>
        <v/>
      </c>
    </row>
    <row r="94" ht="18" customHeight="1">
      <c r="A94" s="20" t="n"/>
      <c r="B94" s="20" t="n"/>
      <c r="C94" s="20" t="n"/>
      <c r="D94" s="20" t="n"/>
      <c r="E94" s="20" t="n"/>
      <c r="F94" s="21" t="n"/>
      <c r="G94" s="20" t="n"/>
      <c r="H94" s="20" t="n"/>
      <c r="I94" s="20" t="n"/>
      <c r="J94" s="21" t="n"/>
      <c r="K94" s="20" t="n"/>
      <c r="L94" s="21" t="n"/>
      <c r="M94" s="20" t="n"/>
      <c r="N94" s="20" t="n"/>
      <c r="O94" s="21" t="n"/>
      <c r="P94" s="20" t="n"/>
      <c r="Q94" s="24">
        <f>IF(F94="","",TODAY()-F94)</f>
        <v/>
      </c>
      <c r="R94" s="25">
        <f>IF(OR(F94="",I94="✅ Signed",I94="❌ Declined"),"—",IF(AND(Q94&gt;5,I94="❌ Not yet"),"🔴 FOLLOW UP NOW",IF(AND(Q94&gt;14,I94="🔄 Negotiating"),"🔴 STALLING",IF(AND(Q94&gt;=3,Q94&lt;=5,I94="❌ Not yet"),"🟡 DUE SOON","—"))))</f>
        <v/>
      </c>
    </row>
    <row r="95" ht="18" customHeight="1">
      <c r="A95" s="20" t="n"/>
      <c r="B95" s="20" t="n"/>
      <c r="C95" s="20" t="n"/>
      <c r="D95" s="20" t="n"/>
      <c r="E95" s="20" t="n"/>
      <c r="F95" s="21" t="n"/>
      <c r="G95" s="20" t="n"/>
      <c r="H95" s="20" t="n"/>
      <c r="I95" s="20" t="n"/>
      <c r="J95" s="21" t="n"/>
      <c r="K95" s="20" t="n"/>
      <c r="L95" s="21" t="n"/>
      <c r="M95" s="20" t="n"/>
      <c r="N95" s="20" t="n"/>
      <c r="O95" s="21" t="n"/>
      <c r="P95" s="20" t="n"/>
      <c r="Q95" s="24">
        <f>IF(F95="","",TODAY()-F95)</f>
        <v/>
      </c>
      <c r="R95" s="25">
        <f>IF(OR(F95="",I95="✅ Signed",I95="❌ Declined"),"—",IF(AND(Q95&gt;5,I95="❌ Not yet"),"🔴 FOLLOW UP NOW",IF(AND(Q95&gt;14,I95="🔄 Negotiating"),"🔴 STALLING",IF(AND(Q95&gt;=3,Q95&lt;=5,I95="❌ Not yet"),"🟡 DUE SOON","—"))))</f>
        <v/>
      </c>
    </row>
    <row r="96" ht="18" customHeight="1">
      <c r="A96" s="20" t="n"/>
      <c r="B96" s="20" t="n"/>
      <c r="C96" s="20" t="n"/>
      <c r="D96" s="20" t="n"/>
      <c r="E96" s="20" t="n"/>
      <c r="F96" s="21" t="n"/>
      <c r="G96" s="20" t="n"/>
      <c r="H96" s="20" t="n"/>
      <c r="I96" s="20" t="n"/>
      <c r="J96" s="21" t="n"/>
      <c r="K96" s="20" t="n"/>
      <c r="L96" s="21" t="n"/>
      <c r="M96" s="20" t="n"/>
      <c r="N96" s="20" t="n"/>
      <c r="O96" s="21" t="n"/>
      <c r="P96" s="20" t="n"/>
      <c r="Q96" s="24">
        <f>IF(F96="","",TODAY()-F96)</f>
        <v/>
      </c>
      <c r="R96" s="25">
        <f>IF(OR(F96="",I96="✅ Signed",I96="❌ Declined"),"—",IF(AND(Q96&gt;5,I96="❌ Not yet"),"🔴 FOLLOW UP NOW",IF(AND(Q96&gt;14,I96="🔄 Negotiating"),"🔴 STALLING",IF(AND(Q96&gt;=3,Q96&lt;=5,I96="❌ Not yet"),"🟡 DUE SOON","—"))))</f>
        <v/>
      </c>
    </row>
    <row r="97" ht="18" customHeight="1">
      <c r="A97" s="20" t="n"/>
      <c r="B97" s="20" t="n"/>
      <c r="C97" s="20" t="n"/>
      <c r="D97" s="20" t="n"/>
      <c r="E97" s="20" t="n"/>
      <c r="F97" s="21" t="n"/>
      <c r="G97" s="20" t="n"/>
      <c r="H97" s="20" t="n"/>
      <c r="I97" s="20" t="n"/>
      <c r="J97" s="21" t="n"/>
      <c r="K97" s="20" t="n"/>
      <c r="L97" s="21" t="n"/>
      <c r="M97" s="20" t="n"/>
      <c r="N97" s="20" t="n"/>
      <c r="O97" s="21" t="n"/>
      <c r="P97" s="20" t="n"/>
      <c r="Q97" s="24">
        <f>IF(F97="","",TODAY()-F97)</f>
        <v/>
      </c>
      <c r="R97" s="25">
        <f>IF(OR(F97="",I97="✅ Signed",I97="❌ Declined"),"—",IF(AND(Q97&gt;5,I97="❌ Not yet"),"🔴 FOLLOW UP NOW",IF(AND(Q97&gt;14,I97="🔄 Negotiating"),"🔴 STALLING",IF(AND(Q97&gt;=3,Q97&lt;=5,I97="❌ Not yet"),"🟡 DUE SOON","—"))))</f>
        <v/>
      </c>
    </row>
    <row r="98" ht="18" customHeight="1">
      <c r="A98" s="20" t="n"/>
      <c r="B98" s="20" t="n"/>
      <c r="C98" s="20" t="n"/>
      <c r="D98" s="20" t="n"/>
      <c r="E98" s="20" t="n"/>
      <c r="F98" s="21" t="n"/>
      <c r="G98" s="20" t="n"/>
      <c r="H98" s="20" t="n"/>
      <c r="I98" s="20" t="n"/>
      <c r="J98" s="21" t="n"/>
      <c r="K98" s="20" t="n"/>
      <c r="L98" s="21" t="n"/>
      <c r="M98" s="20" t="n"/>
      <c r="N98" s="20" t="n"/>
      <c r="O98" s="21" t="n"/>
      <c r="P98" s="20" t="n"/>
      <c r="Q98" s="24">
        <f>IF(F98="","",TODAY()-F98)</f>
        <v/>
      </c>
      <c r="R98" s="25">
        <f>IF(OR(F98="",I98="✅ Signed",I98="❌ Declined"),"—",IF(AND(Q98&gt;5,I98="❌ Not yet"),"🔴 FOLLOW UP NOW",IF(AND(Q98&gt;14,I98="🔄 Negotiating"),"🔴 STALLING",IF(AND(Q98&gt;=3,Q98&lt;=5,I98="❌ Not yet"),"🟡 DUE SOON","—"))))</f>
        <v/>
      </c>
    </row>
    <row r="99" ht="18" customHeight="1">
      <c r="A99" s="20" t="n"/>
      <c r="B99" s="20" t="n"/>
      <c r="C99" s="20" t="n"/>
      <c r="D99" s="20" t="n"/>
      <c r="E99" s="20" t="n"/>
      <c r="F99" s="21" t="n"/>
      <c r="G99" s="20" t="n"/>
      <c r="H99" s="20" t="n"/>
      <c r="I99" s="20" t="n"/>
      <c r="J99" s="21" t="n"/>
      <c r="K99" s="20" t="n"/>
      <c r="L99" s="21" t="n"/>
      <c r="M99" s="20" t="n"/>
      <c r="N99" s="20" t="n"/>
      <c r="O99" s="21" t="n"/>
      <c r="P99" s="20" t="n"/>
      <c r="Q99" s="24">
        <f>IF(F99="","",TODAY()-F99)</f>
        <v/>
      </c>
      <c r="R99" s="25">
        <f>IF(OR(F99="",I99="✅ Signed",I99="❌ Declined"),"—",IF(AND(Q99&gt;5,I99="❌ Not yet"),"🔴 FOLLOW UP NOW",IF(AND(Q99&gt;14,I99="🔄 Negotiating"),"🔴 STALLING",IF(AND(Q99&gt;=3,Q99&lt;=5,I99="❌ Not yet"),"🟡 DUE SOON","—"))))</f>
        <v/>
      </c>
    </row>
    <row r="100" ht="18" customHeight="1">
      <c r="A100" s="20" t="n"/>
      <c r="B100" s="20" t="n"/>
      <c r="C100" s="20" t="n"/>
      <c r="D100" s="20" t="n"/>
      <c r="E100" s="20" t="n"/>
      <c r="F100" s="21" t="n"/>
      <c r="G100" s="20" t="n"/>
      <c r="H100" s="20" t="n"/>
      <c r="I100" s="20" t="n"/>
      <c r="J100" s="21" t="n"/>
      <c r="K100" s="20" t="n"/>
      <c r="L100" s="21" t="n"/>
      <c r="M100" s="20" t="n"/>
      <c r="N100" s="20" t="n"/>
      <c r="O100" s="21" t="n"/>
      <c r="P100" s="20" t="n"/>
      <c r="Q100" s="24">
        <f>IF(F100="","",TODAY()-F100)</f>
        <v/>
      </c>
      <c r="R100" s="25">
        <f>IF(OR(F100="",I100="✅ Signed",I100="❌ Declined"),"—",IF(AND(Q100&gt;5,I100="❌ Not yet"),"🔴 FOLLOW UP NOW",IF(AND(Q100&gt;14,I100="🔄 Negotiating"),"🔴 STALLING",IF(AND(Q100&gt;=3,Q100&lt;=5,I100="❌ Not yet"),"🟡 DUE SOON","—"))))</f>
        <v/>
      </c>
    </row>
    <row r="101" ht="18" customHeight="1">
      <c r="A101" s="20" t="n"/>
      <c r="B101" s="20" t="n"/>
      <c r="C101" s="20" t="n"/>
      <c r="D101" s="20" t="n"/>
      <c r="E101" s="20" t="n"/>
      <c r="F101" s="21" t="n"/>
      <c r="G101" s="20" t="n"/>
      <c r="H101" s="20" t="n"/>
      <c r="I101" s="20" t="n"/>
      <c r="J101" s="21" t="n"/>
      <c r="K101" s="20" t="n"/>
      <c r="L101" s="21" t="n"/>
      <c r="M101" s="20" t="n"/>
      <c r="N101" s="20" t="n"/>
      <c r="O101" s="21" t="n"/>
      <c r="P101" s="20" t="n"/>
      <c r="Q101" s="24">
        <f>IF(F101="","",TODAY()-F101)</f>
        <v/>
      </c>
      <c r="R101" s="25">
        <f>IF(OR(F101="",I101="✅ Signed",I101="❌ Declined"),"—",IF(AND(Q101&gt;5,I101="❌ Not yet"),"🔴 FOLLOW UP NOW",IF(AND(Q101&gt;14,I101="🔄 Negotiating"),"🔴 STALLING",IF(AND(Q101&gt;=3,Q101&lt;=5,I101="❌ Not yet"),"🟡 DUE SOON","—"))))</f>
        <v/>
      </c>
    </row>
    <row r="102" ht="18" customHeight="1">
      <c r="A102" s="20" t="n"/>
      <c r="B102" s="20" t="n"/>
      <c r="C102" s="20" t="n"/>
      <c r="D102" s="20" t="n"/>
      <c r="E102" s="20" t="n"/>
      <c r="F102" s="21" t="n"/>
      <c r="G102" s="20" t="n"/>
      <c r="H102" s="20" t="n"/>
      <c r="I102" s="20" t="n"/>
      <c r="J102" s="21" t="n"/>
      <c r="K102" s="20" t="n"/>
      <c r="L102" s="21" t="n"/>
      <c r="M102" s="20" t="n"/>
      <c r="N102" s="20" t="n"/>
      <c r="O102" s="21" t="n"/>
      <c r="P102" s="20" t="n"/>
      <c r="Q102" s="24">
        <f>IF(F102="","",TODAY()-F102)</f>
        <v/>
      </c>
      <c r="R102" s="25">
        <f>IF(OR(F102="",I102="✅ Signed",I102="❌ Declined"),"—",IF(AND(Q102&gt;5,I102="❌ Not yet"),"🔴 FOLLOW UP NOW",IF(AND(Q102&gt;14,I102="🔄 Negotiating"),"🔴 STALLING",IF(AND(Q102&gt;=3,Q102&lt;=5,I102="❌ Not yet"),"🟡 DUE SOON","—"))))</f>
        <v/>
      </c>
    </row>
    <row r="103" ht="18" customHeight="1">
      <c r="A103" s="20" t="n"/>
      <c r="B103" s="20" t="n"/>
      <c r="C103" s="20" t="n"/>
      <c r="D103" s="20" t="n"/>
      <c r="E103" s="20" t="n"/>
      <c r="F103" s="21" t="n"/>
      <c r="G103" s="20" t="n"/>
      <c r="H103" s="20" t="n"/>
      <c r="I103" s="20" t="n"/>
      <c r="J103" s="21" t="n"/>
      <c r="K103" s="20" t="n"/>
      <c r="L103" s="21" t="n"/>
      <c r="M103" s="20" t="n"/>
      <c r="N103" s="20" t="n"/>
      <c r="O103" s="21" t="n"/>
      <c r="P103" s="20" t="n"/>
      <c r="Q103" s="24">
        <f>IF(F103="","",TODAY()-F103)</f>
        <v/>
      </c>
      <c r="R103" s="25">
        <f>IF(OR(F103="",I103="✅ Signed",I103="❌ Declined"),"—",IF(AND(Q103&gt;5,I103="❌ Not yet"),"🔴 FOLLOW UP NOW",IF(AND(Q103&gt;14,I103="🔄 Negotiating"),"🔴 STALLING",IF(AND(Q103&gt;=3,Q103&lt;=5,I103="❌ Not yet"),"🟡 DUE SOON","—"))))</f>
        <v/>
      </c>
    </row>
    <row r="104" ht="18" customHeight="1">
      <c r="A104" s="20" t="n"/>
      <c r="B104" s="20" t="n"/>
      <c r="C104" s="20" t="n"/>
      <c r="D104" s="20" t="n"/>
      <c r="E104" s="20" t="n"/>
      <c r="F104" s="21" t="n"/>
      <c r="G104" s="20" t="n"/>
      <c r="H104" s="20" t="n"/>
      <c r="I104" s="20" t="n"/>
      <c r="J104" s="21" t="n"/>
      <c r="K104" s="20" t="n"/>
      <c r="L104" s="21" t="n"/>
      <c r="M104" s="20" t="n"/>
      <c r="N104" s="20" t="n"/>
      <c r="O104" s="21" t="n"/>
      <c r="P104" s="20" t="n"/>
      <c r="Q104" s="24">
        <f>IF(F104="","",TODAY()-F104)</f>
        <v/>
      </c>
      <c r="R104" s="25">
        <f>IF(OR(F104="",I104="✅ Signed",I104="❌ Declined"),"—",IF(AND(Q104&gt;5,I104="❌ Not yet"),"🔴 FOLLOW UP NOW",IF(AND(Q104&gt;14,I104="🔄 Negotiating"),"🔴 STALLING",IF(AND(Q104&gt;=3,Q104&lt;=5,I104="❌ Not yet"),"🟡 DUE SOON","—"))))</f>
        <v/>
      </c>
    </row>
    <row r="105" ht="18" customHeight="1">
      <c r="A105" s="20" t="n"/>
      <c r="B105" s="20" t="n"/>
      <c r="C105" s="20" t="n"/>
      <c r="D105" s="20" t="n"/>
      <c r="E105" s="20" t="n"/>
      <c r="F105" s="21" t="n"/>
      <c r="G105" s="20" t="n"/>
      <c r="H105" s="20" t="n"/>
      <c r="I105" s="20" t="n"/>
      <c r="J105" s="21" t="n"/>
      <c r="K105" s="20" t="n"/>
      <c r="L105" s="21" t="n"/>
      <c r="M105" s="20" t="n"/>
      <c r="N105" s="20" t="n"/>
      <c r="O105" s="21" t="n"/>
      <c r="P105" s="20" t="n"/>
      <c r="Q105" s="24">
        <f>IF(F105="","",TODAY()-F105)</f>
        <v/>
      </c>
      <c r="R105" s="25">
        <f>IF(OR(F105="",I105="✅ Signed",I105="❌ Declined"),"—",IF(AND(Q105&gt;5,I105="❌ Not yet"),"🔴 FOLLOW UP NOW",IF(AND(Q105&gt;14,I105="🔄 Negotiating"),"🔴 STALLING",IF(AND(Q105&gt;=3,Q105&lt;=5,I105="❌ Not yet"),"🟡 DUE SOON","—"))))</f>
        <v/>
      </c>
    </row>
    <row r="106" ht="18" customHeight="1">
      <c r="A106" s="20" t="n"/>
      <c r="B106" s="20" t="n"/>
      <c r="C106" s="20" t="n"/>
      <c r="D106" s="20" t="n"/>
      <c r="E106" s="20" t="n"/>
      <c r="F106" s="21" t="n"/>
      <c r="G106" s="20" t="n"/>
      <c r="H106" s="20" t="n"/>
      <c r="I106" s="20" t="n"/>
      <c r="J106" s="21" t="n"/>
      <c r="K106" s="20" t="n"/>
      <c r="L106" s="21" t="n"/>
      <c r="M106" s="20" t="n"/>
      <c r="N106" s="20" t="n"/>
      <c r="O106" s="21" t="n"/>
      <c r="P106" s="20" t="n"/>
      <c r="Q106" s="24">
        <f>IF(F106="","",TODAY()-F106)</f>
        <v/>
      </c>
      <c r="R106" s="25">
        <f>IF(OR(F106="",I106="✅ Signed",I106="❌ Declined"),"—",IF(AND(Q106&gt;5,I106="❌ Not yet"),"🔴 FOLLOW UP NOW",IF(AND(Q106&gt;14,I106="🔄 Negotiating"),"🔴 STALLING",IF(AND(Q106&gt;=3,Q106&lt;=5,I106="❌ Not yet"),"🟡 DUE SOON","—"))))</f>
        <v/>
      </c>
    </row>
    <row r="107" ht="18" customHeight="1">
      <c r="A107" s="20" t="n"/>
      <c r="B107" s="20" t="n"/>
      <c r="C107" s="20" t="n"/>
      <c r="D107" s="20" t="n"/>
      <c r="E107" s="20" t="n"/>
      <c r="F107" s="21" t="n"/>
      <c r="G107" s="20" t="n"/>
      <c r="H107" s="20" t="n"/>
      <c r="I107" s="20" t="n"/>
      <c r="J107" s="21" t="n"/>
      <c r="K107" s="20" t="n"/>
      <c r="L107" s="21" t="n"/>
      <c r="M107" s="20" t="n"/>
      <c r="N107" s="20" t="n"/>
      <c r="O107" s="21" t="n"/>
      <c r="P107" s="20" t="n"/>
      <c r="Q107" s="24">
        <f>IF(F107="","",TODAY()-F107)</f>
        <v/>
      </c>
      <c r="R107" s="25">
        <f>IF(OR(F107="",I107="✅ Signed",I107="❌ Declined"),"—",IF(AND(Q107&gt;5,I107="❌ Not yet"),"🔴 FOLLOW UP NOW",IF(AND(Q107&gt;14,I107="🔄 Negotiating"),"🔴 STALLING",IF(AND(Q107&gt;=3,Q107&lt;=5,I107="❌ Not yet"),"🟡 DUE SOON","—"))))</f>
        <v/>
      </c>
    </row>
    <row r="108" ht="18" customHeight="1">
      <c r="A108" s="20" t="n"/>
      <c r="B108" s="20" t="n"/>
      <c r="C108" s="20" t="n"/>
      <c r="D108" s="20" t="n"/>
      <c r="E108" s="20" t="n"/>
      <c r="F108" s="21" t="n"/>
      <c r="G108" s="20" t="n"/>
      <c r="H108" s="20" t="n"/>
      <c r="I108" s="20" t="n"/>
      <c r="J108" s="21" t="n"/>
      <c r="K108" s="20" t="n"/>
      <c r="L108" s="21" t="n"/>
      <c r="M108" s="20" t="n"/>
      <c r="N108" s="20" t="n"/>
      <c r="O108" s="21" t="n"/>
      <c r="P108" s="20" t="n"/>
      <c r="Q108" s="24">
        <f>IF(F108="","",TODAY()-F108)</f>
        <v/>
      </c>
      <c r="R108" s="25">
        <f>IF(OR(F108="",I108="✅ Signed",I108="❌ Declined"),"—",IF(AND(Q108&gt;5,I108="❌ Not yet"),"🔴 FOLLOW UP NOW",IF(AND(Q108&gt;14,I108="🔄 Negotiating"),"🔴 STALLING",IF(AND(Q108&gt;=3,Q108&lt;=5,I108="❌ Not yet"),"🟡 DUE SOON","—"))))</f>
        <v/>
      </c>
    </row>
    <row r="109" ht="18" customHeight="1">
      <c r="A109" s="20" t="n"/>
      <c r="B109" s="20" t="n"/>
      <c r="C109" s="20" t="n"/>
      <c r="D109" s="20" t="n"/>
      <c r="E109" s="20" t="n"/>
      <c r="F109" s="21" t="n"/>
      <c r="G109" s="20" t="n"/>
      <c r="H109" s="20" t="n"/>
      <c r="I109" s="20" t="n"/>
      <c r="J109" s="21" t="n"/>
      <c r="K109" s="20" t="n"/>
      <c r="L109" s="21" t="n"/>
      <c r="M109" s="20" t="n"/>
      <c r="N109" s="20" t="n"/>
      <c r="O109" s="21" t="n"/>
      <c r="P109" s="20" t="n"/>
      <c r="Q109" s="24">
        <f>IF(F109="","",TODAY()-F109)</f>
        <v/>
      </c>
      <c r="R109" s="25">
        <f>IF(OR(F109="",I109="✅ Signed",I109="❌ Declined"),"—",IF(AND(Q109&gt;5,I109="❌ Not yet"),"🔴 FOLLOW UP NOW",IF(AND(Q109&gt;14,I109="🔄 Negotiating"),"🔴 STALLING",IF(AND(Q109&gt;=3,Q109&lt;=5,I109="❌ Not yet"),"🟡 DUE SOON","—"))))</f>
        <v/>
      </c>
    </row>
    <row r="110" ht="18" customHeight="1">
      <c r="A110" s="20" t="n"/>
      <c r="B110" s="20" t="n"/>
      <c r="C110" s="20" t="n"/>
      <c r="D110" s="20" t="n"/>
      <c r="E110" s="20" t="n"/>
      <c r="F110" s="21" t="n"/>
      <c r="G110" s="20" t="n"/>
      <c r="H110" s="20" t="n"/>
      <c r="I110" s="20" t="n"/>
      <c r="J110" s="21" t="n"/>
      <c r="K110" s="20" t="n"/>
      <c r="L110" s="21" t="n"/>
      <c r="M110" s="20" t="n"/>
      <c r="N110" s="20" t="n"/>
      <c r="O110" s="21" t="n"/>
      <c r="P110" s="20" t="n"/>
      <c r="Q110" s="24">
        <f>IF(F110="","",TODAY()-F110)</f>
        <v/>
      </c>
      <c r="R110" s="25">
        <f>IF(OR(F110="",I110="✅ Signed",I110="❌ Declined"),"—",IF(AND(Q110&gt;5,I110="❌ Not yet"),"🔴 FOLLOW UP NOW",IF(AND(Q110&gt;14,I110="🔄 Negotiating"),"🔴 STALLING",IF(AND(Q110&gt;=3,Q110&lt;=5,I110="❌ Not yet"),"🟡 DUE SOON","—"))))</f>
        <v/>
      </c>
    </row>
    <row r="111" ht="18" customHeight="1">
      <c r="A111" s="20" t="n"/>
      <c r="B111" s="20" t="n"/>
      <c r="C111" s="20" t="n"/>
      <c r="D111" s="20" t="n"/>
      <c r="E111" s="20" t="n"/>
      <c r="F111" s="21" t="n"/>
      <c r="G111" s="20" t="n"/>
      <c r="H111" s="20" t="n"/>
      <c r="I111" s="20" t="n"/>
      <c r="J111" s="21" t="n"/>
      <c r="K111" s="20" t="n"/>
      <c r="L111" s="21" t="n"/>
      <c r="M111" s="20" t="n"/>
      <c r="N111" s="20" t="n"/>
      <c r="O111" s="21" t="n"/>
      <c r="P111" s="20" t="n"/>
      <c r="Q111" s="24">
        <f>IF(F111="","",TODAY()-F111)</f>
        <v/>
      </c>
      <c r="R111" s="25">
        <f>IF(OR(F111="",I111="✅ Signed",I111="❌ Declined"),"—",IF(AND(Q111&gt;5,I111="❌ Not yet"),"🔴 FOLLOW UP NOW",IF(AND(Q111&gt;14,I111="🔄 Negotiating"),"🔴 STALLING",IF(AND(Q111&gt;=3,Q111&lt;=5,I111="❌ Not yet"),"🟡 DUE SOON","—"))))</f>
        <v/>
      </c>
    </row>
    <row r="112" ht="18" customHeight="1">
      <c r="A112" s="20" t="n"/>
      <c r="B112" s="20" t="n"/>
      <c r="C112" s="20" t="n"/>
      <c r="D112" s="20" t="n"/>
      <c r="E112" s="20" t="n"/>
      <c r="F112" s="21" t="n"/>
      <c r="G112" s="20" t="n"/>
      <c r="H112" s="20" t="n"/>
      <c r="I112" s="20" t="n"/>
      <c r="J112" s="21" t="n"/>
      <c r="K112" s="20" t="n"/>
      <c r="L112" s="21" t="n"/>
      <c r="M112" s="20" t="n"/>
      <c r="N112" s="20" t="n"/>
      <c r="O112" s="21" t="n"/>
      <c r="P112" s="20" t="n"/>
      <c r="Q112" s="24">
        <f>IF(F112="","",TODAY()-F112)</f>
        <v/>
      </c>
      <c r="R112" s="25">
        <f>IF(OR(F112="",I112="✅ Signed",I112="❌ Declined"),"—",IF(AND(Q112&gt;5,I112="❌ Not yet"),"🔴 FOLLOW UP NOW",IF(AND(Q112&gt;14,I112="🔄 Negotiating"),"🔴 STALLING",IF(AND(Q112&gt;=3,Q112&lt;=5,I112="❌ Not yet"),"🟡 DUE SOON","—"))))</f>
        <v/>
      </c>
    </row>
    <row r="113" ht="18" customHeight="1">
      <c r="A113" s="20" t="n"/>
      <c r="B113" s="20" t="n"/>
      <c r="C113" s="20" t="n"/>
      <c r="D113" s="20" t="n"/>
      <c r="E113" s="20" t="n"/>
      <c r="F113" s="21" t="n"/>
      <c r="G113" s="20" t="n"/>
      <c r="H113" s="20" t="n"/>
      <c r="I113" s="20" t="n"/>
      <c r="J113" s="21" t="n"/>
      <c r="K113" s="20" t="n"/>
      <c r="L113" s="21" t="n"/>
      <c r="M113" s="20" t="n"/>
      <c r="N113" s="20" t="n"/>
      <c r="O113" s="21" t="n"/>
      <c r="P113" s="20" t="n"/>
      <c r="Q113" s="24">
        <f>IF(F113="","",TODAY()-F113)</f>
        <v/>
      </c>
      <c r="R113" s="25">
        <f>IF(OR(F113="",I113="✅ Signed",I113="❌ Declined"),"—",IF(AND(Q113&gt;5,I113="❌ Not yet"),"🔴 FOLLOW UP NOW",IF(AND(Q113&gt;14,I113="🔄 Negotiating"),"🔴 STALLING",IF(AND(Q113&gt;=3,Q113&lt;=5,I113="❌ Not yet"),"🟡 DUE SOON","—"))))</f>
        <v/>
      </c>
    </row>
    <row r="114" ht="18" customHeight="1">
      <c r="A114" s="20" t="n"/>
      <c r="B114" s="20" t="n"/>
      <c r="C114" s="20" t="n"/>
      <c r="D114" s="20" t="n"/>
      <c r="E114" s="20" t="n"/>
      <c r="F114" s="21" t="n"/>
      <c r="G114" s="20" t="n"/>
      <c r="H114" s="20" t="n"/>
      <c r="I114" s="20" t="n"/>
      <c r="J114" s="21" t="n"/>
      <c r="K114" s="20" t="n"/>
      <c r="L114" s="21" t="n"/>
      <c r="M114" s="20" t="n"/>
      <c r="N114" s="20" t="n"/>
      <c r="O114" s="21" t="n"/>
      <c r="P114" s="20" t="n"/>
      <c r="Q114" s="24">
        <f>IF(F114="","",TODAY()-F114)</f>
        <v/>
      </c>
      <c r="R114" s="25">
        <f>IF(OR(F114="",I114="✅ Signed",I114="❌ Declined"),"—",IF(AND(Q114&gt;5,I114="❌ Not yet"),"🔴 FOLLOW UP NOW",IF(AND(Q114&gt;14,I114="🔄 Negotiating"),"🔴 STALLING",IF(AND(Q114&gt;=3,Q114&lt;=5,I114="❌ Not yet"),"🟡 DUE SOON","—"))))</f>
        <v/>
      </c>
    </row>
    <row r="115" ht="18" customHeight="1">
      <c r="A115" s="20" t="n"/>
      <c r="B115" s="20" t="n"/>
      <c r="C115" s="20" t="n"/>
      <c r="D115" s="20" t="n"/>
      <c r="E115" s="20" t="n"/>
      <c r="F115" s="21" t="n"/>
      <c r="G115" s="20" t="n"/>
      <c r="H115" s="20" t="n"/>
      <c r="I115" s="20" t="n"/>
      <c r="J115" s="21" t="n"/>
      <c r="K115" s="20" t="n"/>
      <c r="L115" s="21" t="n"/>
      <c r="M115" s="20" t="n"/>
      <c r="N115" s="20" t="n"/>
      <c r="O115" s="21" t="n"/>
      <c r="P115" s="20" t="n"/>
      <c r="Q115" s="24">
        <f>IF(F115="","",TODAY()-F115)</f>
        <v/>
      </c>
      <c r="R115" s="25">
        <f>IF(OR(F115="",I115="✅ Signed",I115="❌ Declined"),"—",IF(AND(Q115&gt;5,I115="❌ Not yet"),"🔴 FOLLOW UP NOW",IF(AND(Q115&gt;14,I115="🔄 Negotiating"),"🔴 STALLING",IF(AND(Q115&gt;=3,Q115&lt;=5,I115="❌ Not yet"),"🟡 DUE SOON","—"))))</f>
        <v/>
      </c>
    </row>
    <row r="116" ht="18" customHeight="1">
      <c r="A116" s="20" t="n"/>
      <c r="B116" s="20" t="n"/>
      <c r="C116" s="20" t="n"/>
      <c r="D116" s="20" t="n"/>
      <c r="E116" s="20" t="n"/>
      <c r="F116" s="21" t="n"/>
      <c r="G116" s="20" t="n"/>
      <c r="H116" s="20" t="n"/>
      <c r="I116" s="20" t="n"/>
      <c r="J116" s="21" t="n"/>
      <c r="K116" s="20" t="n"/>
      <c r="L116" s="21" t="n"/>
      <c r="M116" s="20" t="n"/>
      <c r="N116" s="20" t="n"/>
      <c r="O116" s="21" t="n"/>
      <c r="P116" s="20" t="n"/>
      <c r="Q116" s="24">
        <f>IF(F116="","",TODAY()-F116)</f>
        <v/>
      </c>
      <c r="R116" s="25">
        <f>IF(OR(F116="",I116="✅ Signed",I116="❌ Declined"),"—",IF(AND(Q116&gt;5,I116="❌ Not yet"),"🔴 FOLLOW UP NOW",IF(AND(Q116&gt;14,I116="🔄 Negotiating"),"🔴 STALLING",IF(AND(Q116&gt;=3,Q116&lt;=5,I116="❌ Not yet"),"🟡 DUE SOON","—"))))</f>
        <v/>
      </c>
    </row>
    <row r="117" ht="18" customHeight="1">
      <c r="A117" s="20" t="n"/>
      <c r="B117" s="20" t="n"/>
      <c r="C117" s="20" t="n"/>
      <c r="D117" s="20" t="n"/>
      <c r="E117" s="20" t="n"/>
      <c r="F117" s="21" t="n"/>
      <c r="G117" s="20" t="n"/>
      <c r="H117" s="20" t="n"/>
      <c r="I117" s="20" t="n"/>
      <c r="J117" s="21" t="n"/>
      <c r="K117" s="20" t="n"/>
      <c r="L117" s="21" t="n"/>
      <c r="M117" s="20" t="n"/>
      <c r="N117" s="20" t="n"/>
      <c r="O117" s="21" t="n"/>
      <c r="P117" s="20" t="n"/>
      <c r="Q117" s="24">
        <f>IF(F117="","",TODAY()-F117)</f>
        <v/>
      </c>
      <c r="R117" s="25">
        <f>IF(OR(F117="",I117="✅ Signed",I117="❌ Declined"),"—",IF(AND(Q117&gt;5,I117="❌ Not yet"),"🔴 FOLLOW UP NOW",IF(AND(Q117&gt;14,I117="🔄 Negotiating"),"🔴 STALLING",IF(AND(Q117&gt;=3,Q117&lt;=5,I117="❌ Not yet"),"🟡 DUE SOON","—"))))</f>
        <v/>
      </c>
    </row>
    <row r="118" ht="18" customHeight="1">
      <c r="A118" s="20" t="n"/>
      <c r="B118" s="20" t="n"/>
      <c r="C118" s="20" t="n"/>
      <c r="D118" s="20" t="n"/>
      <c r="E118" s="20" t="n"/>
      <c r="F118" s="21" t="n"/>
      <c r="G118" s="20" t="n"/>
      <c r="H118" s="20" t="n"/>
      <c r="I118" s="20" t="n"/>
      <c r="J118" s="21" t="n"/>
      <c r="K118" s="20" t="n"/>
      <c r="L118" s="21" t="n"/>
      <c r="M118" s="20" t="n"/>
      <c r="N118" s="20" t="n"/>
      <c r="O118" s="21" t="n"/>
      <c r="P118" s="20" t="n"/>
      <c r="Q118" s="24">
        <f>IF(F118="","",TODAY()-F118)</f>
        <v/>
      </c>
      <c r="R118" s="25">
        <f>IF(OR(F118="",I118="✅ Signed",I118="❌ Declined"),"—",IF(AND(Q118&gt;5,I118="❌ Not yet"),"🔴 FOLLOW UP NOW",IF(AND(Q118&gt;14,I118="🔄 Negotiating"),"🔴 STALLING",IF(AND(Q118&gt;=3,Q118&lt;=5,I118="❌ Not yet"),"🟡 DUE SOON","—"))))</f>
        <v/>
      </c>
    </row>
    <row r="119" ht="18" customHeight="1">
      <c r="A119" s="20" t="n"/>
      <c r="B119" s="20" t="n"/>
      <c r="C119" s="20" t="n"/>
      <c r="D119" s="20" t="n"/>
      <c r="E119" s="20" t="n"/>
      <c r="F119" s="21" t="n"/>
      <c r="G119" s="20" t="n"/>
      <c r="H119" s="20" t="n"/>
      <c r="I119" s="20" t="n"/>
      <c r="J119" s="21" t="n"/>
      <c r="K119" s="20" t="n"/>
      <c r="L119" s="21" t="n"/>
      <c r="M119" s="20" t="n"/>
      <c r="N119" s="20" t="n"/>
      <c r="O119" s="21" t="n"/>
      <c r="P119" s="20" t="n"/>
      <c r="Q119" s="24">
        <f>IF(F119="","",TODAY()-F119)</f>
        <v/>
      </c>
      <c r="R119" s="25">
        <f>IF(OR(F119="",I119="✅ Signed",I119="❌ Declined"),"—",IF(AND(Q119&gt;5,I119="❌ Not yet"),"🔴 FOLLOW UP NOW",IF(AND(Q119&gt;14,I119="🔄 Negotiating"),"🔴 STALLING",IF(AND(Q119&gt;=3,Q119&lt;=5,I119="❌ Not yet"),"🟡 DUE SOON","—"))))</f>
        <v/>
      </c>
    </row>
    <row r="120" ht="18" customHeight="1">
      <c r="A120" s="20" t="n"/>
      <c r="B120" s="20" t="n"/>
      <c r="C120" s="20" t="n"/>
      <c r="D120" s="20" t="n"/>
      <c r="E120" s="20" t="n"/>
      <c r="F120" s="21" t="n"/>
      <c r="G120" s="20" t="n"/>
      <c r="H120" s="20" t="n"/>
      <c r="I120" s="20" t="n"/>
      <c r="J120" s="21" t="n"/>
      <c r="K120" s="20" t="n"/>
      <c r="L120" s="21" t="n"/>
      <c r="M120" s="20" t="n"/>
      <c r="N120" s="20" t="n"/>
      <c r="O120" s="21" t="n"/>
      <c r="P120" s="20" t="n"/>
      <c r="Q120" s="24">
        <f>IF(F120="","",TODAY()-F120)</f>
        <v/>
      </c>
      <c r="R120" s="25">
        <f>IF(OR(F120="",I120="✅ Signed",I120="❌ Declined"),"—",IF(AND(Q120&gt;5,I120="❌ Not yet"),"🔴 FOLLOW UP NOW",IF(AND(Q120&gt;14,I120="🔄 Negotiating"),"🔴 STALLING",IF(AND(Q120&gt;=3,Q120&lt;=5,I120="❌ Not yet"),"🟡 DUE SOON","—"))))</f>
        <v/>
      </c>
    </row>
    <row r="121" ht="18" customHeight="1">
      <c r="A121" s="20" t="n"/>
      <c r="B121" s="20" t="n"/>
      <c r="C121" s="20" t="n"/>
      <c r="D121" s="20" t="n"/>
      <c r="E121" s="20" t="n"/>
      <c r="F121" s="21" t="n"/>
      <c r="G121" s="20" t="n"/>
      <c r="H121" s="20" t="n"/>
      <c r="I121" s="20" t="n"/>
      <c r="J121" s="21" t="n"/>
      <c r="K121" s="20" t="n"/>
      <c r="L121" s="21" t="n"/>
      <c r="M121" s="20" t="n"/>
      <c r="N121" s="20" t="n"/>
      <c r="O121" s="21" t="n"/>
      <c r="P121" s="20" t="n"/>
      <c r="Q121" s="24">
        <f>IF(F121="","",TODAY()-F121)</f>
        <v/>
      </c>
      <c r="R121" s="25">
        <f>IF(OR(F121="",I121="✅ Signed",I121="❌ Declined"),"—",IF(AND(Q121&gt;5,I121="❌ Not yet"),"🔴 FOLLOW UP NOW",IF(AND(Q121&gt;14,I121="🔄 Negotiating"),"🔴 STALLING",IF(AND(Q121&gt;=3,Q121&lt;=5,I121="❌ Not yet"),"🟡 DUE SOON","—"))))</f>
        <v/>
      </c>
    </row>
    <row r="122" ht="18" customHeight="1">
      <c r="A122" s="20" t="n"/>
      <c r="B122" s="20" t="n"/>
      <c r="C122" s="20" t="n"/>
      <c r="D122" s="20" t="n"/>
      <c r="E122" s="20" t="n"/>
      <c r="F122" s="21" t="n"/>
      <c r="G122" s="20" t="n"/>
      <c r="H122" s="20" t="n"/>
      <c r="I122" s="20" t="n"/>
      <c r="J122" s="21" t="n"/>
      <c r="K122" s="20" t="n"/>
      <c r="L122" s="21" t="n"/>
      <c r="M122" s="20" t="n"/>
      <c r="N122" s="20" t="n"/>
      <c r="O122" s="21" t="n"/>
      <c r="P122" s="20" t="n"/>
      <c r="Q122" s="24">
        <f>IF(F122="","",TODAY()-F122)</f>
        <v/>
      </c>
      <c r="R122" s="25">
        <f>IF(OR(F122="",I122="✅ Signed",I122="❌ Declined"),"—",IF(AND(Q122&gt;5,I122="❌ Not yet"),"🔴 FOLLOW UP NOW",IF(AND(Q122&gt;14,I122="🔄 Negotiating"),"🔴 STALLING",IF(AND(Q122&gt;=3,Q122&lt;=5,I122="❌ Not yet"),"🟡 DUE SOON","—"))))</f>
        <v/>
      </c>
    </row>
    <row r="123" ht="18" customHeight="1">
      <c r="A123" s="20" t="n"/>
      <c r="B123" s="20" t="n"/>
      <c r="C123" s="20" t="n"/>
      <c r="D123" s="20" t="n"/>
      <c r="E123" s="20" t="n"/>
      <c r="F123" s="21" t="n"/>
      <c r="G123" s="20" t="n"/>
      <c r="H123" s="20" t="n"/>
      <c r="I123" s="20" t="n"/>
      <c r="J123" s="21" t="n"/>
      <c r="K123" s="20" t="n"/>
      <c r="L123" s="21" t="n"/>
      <c r="M123" s="20" t="n"/>
      <c r="N123" s="20" t="n"/>
      <c r="O123" s="21" t="n"/>
      <c r="P123" s="20" t="n"/>
      <c r="Q123" s="24">
        <f>IF(F123="","",TODAY()-F123)</f>
        <v/>
      </c>
      <c r="R123" s="25">
        <f>IF(OR(F123="",I123="✅ Signed",I123="❌ Declined"),"—",IF(AND(Q123&gt;5,I123="❌ Not yet"),"🔴 FOLLOW UP NOW",IF(AND(Q123&gt;14,I123="🔄 Negotiating"),"🔴 STALLING",IF(AND(Q123&gt;=3,Q123&lt;=5,I123="❌ Not yet"),"🟡 DUE SOON","—"))))</f>
        <v/>
      </c>
    </row>
    <row r="124" ht="18" customHeight="1">
      <c r="A124" s="20" t="n"/>
      <c r="B124" s="20" t="n"/>
      <c r="C124" s="20" t="n"/>
      <c r="D124" s="20" t="n"/>
      <c r="E124" s="20" t="n"/>
      <c r="F124" s="21" t="n"/>
      <c r="G124" s="20" t="n"/>
      <c r="H124" s="20" t="n"/>
      <c r="I124" s="20" t="n"/>
      <c r="J124" s="21" t="n"/>
      <c r="K124" s="20" t="n"/>
      <c r="L124" s="21" t="n"/>
      <c r="M124" s="20" t="n"/>
      <c r="N124" s="20" t="n"/>
      <c r="O124" s="21" t="n"/>
      <c r="P124" s="20" t="n"/>
      <c r="Q124" s="24">
        <f>IF(F124="","",TODAY()-F124)</f>
        <v/>
      </c>
      <c r="R124" s="25">
        <f>IF(OR(F124="",I124="✅ Signed",I124="❌ Declined"),"—",IF(AND(Q124&gt;5,I124="❌ Not yet"),"🔴 FOLLOW UP NOW",IF(AND(Q124&gt;14,I124="🔄 Negotiating"),"🔴 STALLING",IF(AND(Q124&gt;=3,Q124&lt;=5,I124="❌ Not yet"),"🟡 DUE SOON","—"))))</f>
        <v/>
      </c>
    </row>
    <row r="125" ht="18" customHeight="1">
      <c r="A125" s="20" t="n"/>
      <c r="B125" s="20" t="n"/>
      <c r="C125" s="20" t="n"/>
      <c r="D125" s="20" t="n"/>
      <c r="E125" s="20" t="n"/>
      <c r="F125" s="21" t="n"/>
      <c r="G125" s="20" t="n"/>
      <c r="H125" s="20" t="n"/>
      <c r="I125" s="20" t="n"/>
      <c r="J125" s="21" t="n"/>
      <c r="K125" s="20" t="n"/>
      <c r="L125" s="21" t="n"/>
      <c r="M125" s="20" t="n"/>
      <c r="N125" s="20" t="n"/>
      <c r="O125" s="21" t="n"/>
      <c r="P125" s="20" t="n"/>
      <c r="Q125" s="24">
        <f>IF(F125="","",TODAY()-F125)</f>
        <v/>
      </c>
      <c r="R125" s="25">
        <f>IF(OR(F125="",I125="✅ Signed",I125="❌ Declined"),"—",IF(AND(Q125&gt;5,I125="❌ Not yet"),"🔴 FOLLOW UP NOW",IF(AND(Q125&gt;14,I125="🔄 Negotiating"),"🔴 STALLING",IF(AND(Q125&gt;=3,Q125&lt;=5,I125="❌ Not yet"),"🟡 DUE SOON","—"))))</f>
        <v/>
      </c>
    </row>
    <row r="126" ht="18" customHeight="1">
      <c r="A126" s="20" t="n"/>
      <c r="B126" s="20" t="n"/>
      <c r="C126" s="20" t="n"/>
      <c r="D126" s="20" t="n"/>
      <c r="E126" s="20" t="n"/>
      <c r="F126" s="21" t="n"/>
      <c r="G126" s="20" t="n"/>
      <c r="H126" s="20" t="n"/>
      <c r="I126" s="20" t="n"/>
      <c r="J126" s="21" t="n"/>
      <c r="K126" s="20" t="n"/>
      <c r="L126" s="21" t="n"/>
      <c r="M126" s="20" t="n"/>
      <c r="N126" s="20" t="n"/>
      <c r="O126" s="21" t="n"/>
      <c r="P126" s="20" t="n"/>
      <c r="Q126" s="24">
        <f>IF(F126="","",TODAY()-F126)</f>
        <v/>
      </c>
      <c r="R126" s="25">
        <f>IF(OR(F126="",I126="✅ Signed",I126="❌ Declined"),"—",IF(AND(Q126&gt;5,I126="❌ Not yet"),"🔴 FOLLOW UP NOW",IF(AND(Q126&gt;14,I126="🔄 Negotiating"),"🔴 STALLING",IF(AND(Q126&gt;=3,Q126&lt;=5,I126="❌ Not yet"),"🟡 DUE SOON","—"))))</f>
        <v/>
      </c>
    </row>
    <row r="127" ht="18" customHeight="1">
      <c r="A127" s="20" t="n"/>
      <c r="B127" s="20" t="n"/>
      <c r="C127" s="20" t="n"/>
      <c r="D127" s="20" t="n"/>
      <c r="E127" s="20" t="n"/>
      <c r="F127" s="21" t="n"/>
      <c r="G127" s="20" t="n"/>
      <c r="H127" s="20" t="n"/>
      <c r="I127" s="20" t="n"/>
      <c r="J127" s="21" t="n"/>
      <c r="K127" s="20" t="n"/>
      <c r="L127" s="21" t="n"/>
      <c r="M127" s="20" t="n"/>
      <c r="N127" s="20" t="n"/>
      <c r="O127" s="21" t="n"/>
      <c r="P127" s="20" t="n"/>
      <c r="Q127" s="24">
        <f>IF(F127="","",TODAY()-F127)</f>
        <v/>
      </c>
      <c r="R127" s="25">
        <f>IF(OR(F127="",I127="✅ Signed",I127="❌ Declined"),"—",IF(AND(Q127&gt;5,I127="❌ Not yet"),"🔴 FOLLOW UP NOW",IF(AND(Q127&gt;14,I127="🔄 Negotiating"),"🔴 STALLING",IF(AND(Q127&gt;=3,Q127&lt;=5,I127="❌ Not yet"),"🟡 DUE SOON","—"))))</f>
        <v/>
      </c>
    </row>
    <row r="128" ht="18" customHeight="1">
      <c r="A128" s="20" t="n"/>
      <c r="B128" s="20" t="n"/>
      <c r="C128" s="20" t="n"/>
      <c r="D128" s="20" t="n"/>
      <c r="E128" s="20" t="n"/>
      <c r="F128" s="21" t="n"/>
      <c r="G128" s="20" t="n"/>
      <c r="H128" s="20" t="n"/>
      <c r="I128" s="20" t="n"/>
      <c r="J128" s="21" t="n"/>
      <c r="K128" s="20" t="n"/>
      <c r="L128" s="21" t="n"/>
      <c r="M128" s="20" t="n"/>
      <c r="N128" s="20" t="n"/>
      <c r="O128" s="21" t="n"/>
      <c r="P128" s="20" t="n"/>
      <c r="Q128" s="24">
        <f>IF(F128="","",TODAY()-F128)</f>
        <v/>
      </c>
      <c r="R128" s="25">
        <f>IF(OR(F128="",I128="✅ Signed",I128="❌ Declined"),"—",IF(AND(Q128&gt;5,I128="❌ Not yet"),"🔴 FOLLOW UP NOW",IF(AND(Q128&gt;14,I128="🔄 Negotiating"),"🔴 STALLING",IF(AND(Q128&gt;=3,Q128&lt;=5,I128="❌ Not yet"),"🟡 DUE SOON","—"))))</f>
        <v/>
      </c>
    </row>
    <row r="129" ht="18" customHeight="1">
      <c r="A129" s="20" t="n"/>
      <c r="B129" s="20" t="n"/>
      <c r="C129" s="20" t="n"/>
      <c r="D129" s="20" t="n"/>
      <c r="E129" s="20" t="n"/>
      <c r="F129" s="21" t="n"/>
      <c r="G129" s="20" t="n"/>
      <c r="H129" s="20" t="n"/>
      <c r="I129" s="20" t="n"/>
      <c r="J129" s="21" t="n"/>
      <c r="K129" s="20" t="n"/>
      <c r="L129" s="21" t="n"/>
      <c r="M129" s="20" t="n"/>
      <c r="N129" s="20" t="n"/>
      <c r="O129" s="21" t="n"/>
      <c r="P129" s="20" t="n"/>
      <c r="Q129" s="24">
        <f>IF(F129="","",TODAY()-F129)</f>
        <v/>
      </c>
      <c r="R129" s="25">
        <f>IF(OR(F129="",I129="✅ Signed",I129="❌ Declined"),"—",IF(AND(Q129&gt;5,I129="❌ Not yet"),"🔴 FOLLOW UP NOW",IF(AND(Q129&gt;14,I129="🔄 Negotiating"),"🔴 STALLING",IF(AND(Q129&gt;=3,Q129&lt;=5,I129="❌ Not yet"),"🟡 DUE SOON","—"))))</f>
        <v/>
      </c>
    </row>
    <row r="130" ht="18" customHeight="1">
      <c r="A130" s="20" t="n"/>
      <c r="B130" s="20" t="n"/>
      <c r="C130" s="20" t="n"/>
      <c r="D130" s="20" t="n"/>
      <c r="E130" s="20" t="n"/>
      <c r="F130" s="21" t="n"/>
      <c r="G130" s="20" t="n"/>
      <c r="H130" s="20" t="n"/>
      <c r="I130" s="20" t="n"/>
      <c r="J130" s="21" t="n"/>
      <c r="K130" s="20" t="n"/>
      <c r="L130" s="21" t="n"/>
      <c r="M130" s="20" t="n"/>
      <c r="N130" s="20" t="n"/>
      <c r="O130" s="21" t="n"/>
      <c r="P130" s="20" t="n"/>
      <c r="Q130" s="24">
        <f>IF(F130="","",TODAY()-F130)</f>
        <v/>
      </c>
      <c r="R130" s="25">
        <f>IF(OR(F130="",I130="✅ Signed",I130="❌ Declined"),"—",IF(AND(Q130&gt;5,I130="❌ Not yet"),"🔴 FOLLOW UP NOW",IF(AND(Q130&gt;14,I130="🔄 Negotiating"),"🔴 STALLING",IF(AND(Q130&gt;=3,Q130&lt;=5,I130="❌ Not yet"),"🟡 DUE SOON","—"))))</f>
        <v/>
      </c>
    </row>
    <row r="131" ht="18" customHeight="1">
      <c r="A131" s="20" t="n"/>
      <c r="B131" s="20" t="n"/>
      <c r="C131" s="20" t="n"/>
      <c r="D131" s="20" t="n"/>
      <c r="E131" s="20" t="n"/>
      <c r="F131" s="21" t="n"/>
      <c r="G131" s="20" t="n"/>
      <c r="H131" s="20" t="n"/>
      <c r="I131" s="20" t="n"/>
      <c r="J131" s="21" t="n"/>
      <c r="K131" s="20" t="n"/>
      <c r="L131" s="21" t="n"/>
      <c r="M131" s="20" t="n"/>
      <c r="N131" s="20" t="n"/>
      <c r="O131" s="21" t="n"/>
      <c r="P131" s="20" t="n"/>
      <c r="Q131" s="24">
        <f>IF(F131="","",TODAY()-F131)</f>
        <v/>
      </c>
      <c r="R131" s="25">
        <f>IF(OR(F131="",I131="✅ Signed",I131="❌ Declined"),"—",IF(AND(Q131&gt;5,I131="❌ Not yet"),"🔴 FOLLOW UP NOW",IF(AND(Q131&gt;14,I131="🔄 Negotiating"),"🔴 STALLING",IF(AND(Q131&gt;=3,Q131&lt;=5,I131="❌ Not yet"),"🟡 DUE SOON","—"))))</f>
        <v/>
      </c>
    </row>
    <row r="132" ht="18" customHeight="1">
      <c r="A132" s="20" t="n"/>
      <c r="B132" s="20" t="n"/>
      <c r="C132" s="20" t="n"/>
      <c r="D132" s="20" t="n"/>
      <c r="E132" s="20" t="n"/>
      <c r="F132" s="21" t="n"/>
      <c r="G132" s="20" t="n"/>
      <c r="H132" s="20" t="n"/>
      <c r="I132" s="20" t="n"/>
      <c r="J132" s="21" t="n"/>
      <c r="K132" s="20" t="n"/>
      <c r="L132" s="21" t="n"/>
      <c r="M132" s="20" t="n"/>
      <c r="N132" s="20" t="n"/>
      <c r="O132" s="21" t="n"/>
      <c r="P132" s="20" t="n"/>
      <c r="Q132" s="24">
        <f>IF(F132="","",TODAY()-F132)</f>
        <v/>
      </c>
      <c r="R132" s="25">
        <f>IF(OR(F132="",I132="✅ Signed",I132="❌ Declined"),"—",IF(AND(Q132&gt;5,I132="❌ Not yet"),"🔴 FOLLOW UP NOW",IF(AND(Q132&gt;14,I132="🔄 Negotiating"),"🔴 STALLING",IF(AND(Q132&gt;=3,Q132&lt;=5,I132="❌ Not yet"),"🟡 DUE SOON","—"))))</f>
        <v/>
      </c>
    </row>
    <row r="133" ht="18" customHeight="1">
      <c r="A133" s="20" t="n"/>
      <c r="B133" s="20" t="n"/>
      <c r="C133" s="20" t="n"/>
      <c r="D133" s="20" t="n"/>
      <c r="E133" s="20" t="n"/>
      <c r="F133" s="21" t="n"/>
      <c r="G133" s="20" t="n"/>
      <c r="H133" s="20" t="n"/>
      <c r="I133" s="20" t="n"/>
      <c r="J133" s="21" t="n"/>
      <c r="K133" s="20" t="n"/>
      <c r="L133" s="21" t="n"/>
      <c r="M133" s="20" t="n"/>
      <c r="N133" s="20" t="n"/>
      <c r="O133" s="21" t="n"/>
      <c r="P133" s="20" t="n"/>
      <c r="Q133" s="24">
        <f>IF(F133="","",TODAY()-F133)</f>
        <v/>
      </c>
      <c r="R133" s="25">
        <f>IF(OR(F133="",I133="✅ Signed",I133="❌ Declined"),"—",IF(AND(Q133&gt;5,I133="❌ Not yet"),"🔴 FOLLOW UP NOW",IF(AND(Q133&gt;14,I133="🔄 Negotiating"),"🔴 STALLING",IF(AND(Q133&gt;=3,Q133&lt;=5,I133="❌ Not yet"),"🟡 DUE SOON","—"))))</f>
        <v/>
      </c>
    </row>
    <row r="134" ht="18" customHeight="1">
      <c r="A134" s="20" t="n"/>
      <c r="B134" s="20" t="n"/>
      <c r="C134" s="20" t="n"/>
      <c r="D134" s="20" t="n"/>
      <c r="E134" s="20" t="n"/>
      <c r="F134" s="21" t="n"/>
      <c r="G134" s="20" t="n"/>
      <c r="H134" s="20" t="n"/>
      <c r="I134" s="20" t="n"/>
      <c r="J134" s="21" t="n"/>
      <c r="K134" s="20" t="n"/>
      <c r="L134" s="21" t="n"/>
      <c r="M134" s="20" t="n"/>
      <c r="N134" s="20" t="n"/>
      <c r="O134" s="21" t="n"/>
      <c r="P134" s="20" t="n"/>
      <c r="Q134" s="24">
        <f>IF(F134="","",TODAY()-F134)</f>
        <v/>
      </c>
      <c r="R134" s="25">
        <f>IF(OR(F134="",I134="✅ Signed",I134="❌ Declined"),"—",IF(AND(Q134&gt;5,I134="❌ Not yet"),"🔴 FOLLOW UP NOW",IF(AND(Q134&gt;14,I134="🔄 Negotiating"),"🔴 STALLING",IF(AND(Q134&gt;=3,Q134&lt;=5,I134="❌ Not yet"),"🟡 DUE SOON","—"))))</f>
        <v/>
      </c>
    </row>
    <row r="135" ht="18" customHeight="1">
      <c r="A135" s="20" t="n"/>
      <c r="B135" s="20" t="n"/>
      <c r="C135" s="20" t="n"/>
      <c r="D135" s="20" t="n"/>
      <c r="E135" s="20" t="n"/>
      <c r="F135" s="21" t="n"/>
      <c r="G135" s="20" t="n"/>
      <c r="H135" s="20" t="n"/>
      <c r="I135" s="20" t="n"/>
      <c r="J135" s="21" t="n"/>
      <c r="K135" s="20" t="n"/>
      <c r="L135" s="21" t="n"/>
      <c r="M135" s="20" t="n"/>
      <c r="N135" s="20" t="n"/>
      <c r="O135" s="21" t="n"/>
      <c r="P135" s="20" t="n"/>
      <c r="Q135" s="24">
        <f>IF(F135="","",TODAY()-F135)</f>
        <v/>
      </c>
      <c r="R135" s="25">
        <f>IF(OR(F135="",I135="✅ Signed",I135="❌ Declined"),"—",IF(AND(Q135&gt;5,I135="❌ Not yet"),"🔴 FOLLOW UP NOW",IF(AND(Q135&gt;14,I135="🔄 Negotiating"),"🔴 STALLING",IF(AND(Q135&gt;=3,Q135&lt;=5,I135="❌ Not yet"),"🟡 DUE SOON","—"))))</f>
        <v/>
      </c>
    </row>
    <row r="136" ht="18" customHeight="1">
      <c r="A136" s="20" t="n"/>
      <c r="B136" s="20" t="n"/>
      <c r="C136" s="20" t="n"/>
      <c r="D136" s="20" t="n"/>
      <c r="E136" s="20" t="n"/>
      <c r="F136" s="21" t="n"/>
      <c r="G136" s="20" t="n"/>
      <c r="H136" s="20" t="n"/>
      <c r="I136" s="20" t="n"/>
      <c r="J136" s="21" t="n"/>
      <c r="K136" s="20" t="n"/>
      <c r="L136" s="21" t="n"/>
      <c r="M136" s="20" t="n"/>
      <c r="N136" s="20" t="n"/>
      <c r="O136" s="21" t="n"/>
      <c r="P136" s="20" t="n"/>
      <c r="Q136" s="24">
        <f>IF(F136="","",TODAY()-F136)</f>
        <v/>
      </c>
      <c r="R136" s="25">
        <f>IF(OR(F136="",I136="✅ Signed",I136="❌ Declined"),"—",IF(AND(Q136&gt;5,I136="❌ Not yet"),"🔴 FOLLOW UP NOW",IF(AND(Q136&gt;14,I136="🔄 Negotiating"),"🔴 STALLING",IF(AND(Q136&gt;=3,Q136&lt;=5,I136="❌ Not yet"),"🟡 DUE SOON","—"))))</f>
        <v/>
      </c>
    </row>
    <row r="137" ht="18" customHeight="1">
      <c r="A137" s="20" t="n"/>
      <c r="B137" s="20" t="n"/>
      <c r="C137" s="20" t="n"/>
      <c r="D137" s="20" t="n"/>
      <c r="E137" s="20" t="n"/>
      <c r="F137" s="21" t="n"/>
      <c r="G137" s="20" t="n"/>
      <c r="H137" s="20" t="n"/>
      <c r="I137" s="20" t="n"/>
      <c r="J137" s="21" t="n"/>
      <c r="K137" s="20" t="n"/>
      <c r="L137" s="21" t="n"/>
      <c r="M137" s="20" t="n"/>
      <c r="N137" s="20" t="n"/>
      <c r="O137" s="21" t="n"/>
      <c r="P137" s="20" t="n"/>
      <c r="Q137" s="24">
        <f>IF(F137="","",TODAY()-F137)</f>
        <v/>
      </c>
      <c r="R137" s="25">
        <f>IF(OR(F137="",I137="✅ Signed",I137="❌ Declined"),"—",IF(AND(Q137&gt;5,I137="❌ Not yet"),"🔴 FOLLOW UP NOW",IF(AND(Q137&gt;14,I137="🔄 Negotiating"),"🔴 STALLING",IF(AND(Q137&gt;=3,Q137&lt;=5,I137="❌ Not yet"),"🟡 DUE SOON","—"))))</f>
        <v/>
      </c>
    </row>
    <row r="138" ht="18" customHeight="1">
      <c r="A138" s="20" t="n"/>
      <c r="B138" s="20" t="n"/>
      <c r="C138" s="20" t="n"/>
      <c r="D138" s="20" t="n"/>
      <c r="E138" s="20" t="n"/>
      <c r="F138" s="21" t="n"/>
      <c r="G138" s="20" t="n"/>
      <c r="H138" s="20" t="n"/>
      <c r="I138" s="20" t="n"/>
      <c r="J138" s="21" t="n"/>
      <c r="K138" s="20" t="n"/>
      <c r="L138" s="21" t="n"/>
      <c r="M138" s="20" t="n"/>
      <c r="N138" s="20" t="n"/>
      <c r="O138" s="21" t="n"/>
      <c r="P138" s="20" t="n"/>
      <c r="Q138" s="24">
        <f>IF(F138="","",TODAY()-F138)</f>
        <v/>
      </c>
      <c r="R138" s="25">
        <f>IF(OR(F138="",I138="✅ Signed",I138="❌ Declined"),"—",IF(AND(Q138&gt;5,I138="❌ Not yet"),"🔴 FOLLOW UP NOW",IF(AND(Q138&gt;14,I138="🔄 Negotiating"),"🔴 STALLING",IF(AND(Q138&gt;=3,Q138&lt;=5,I138="❌ Not yet"),"🟡 DUE SOON","—"))))</f>
        <v/>
      </c>
    </row>
    <row r="139" ht="18" customHeight="1">
      <c r="A139" s="20" t="n"/>
      <c r="B139" s="20" t="n"/>
      <c r="C139" s="20" t="n"/>
      <c r="D139" s="20" t="n"/>
      <c r="E139" s="20" t="n"/>
      <c r="F139" s="21" t="n"/>
      <c r="G139" s="20" t="n"/>
      <c r="H139" s="20" t="n"/>
      <c r="I139" s="20" t="n"/>
      <c r="J139" s="21" t="n"/>
      <c r="K139" s="20" t="n"/>
      <c r="L139" s="21" t="n"/>
      <c r="M139" s="20" t="n"/>
      <c r="N139" s="20" t="n"/>
      <c r="O139" s="21" t="n"/>
      <c r="P139" s="20" t="n"/>
      <c r="Q139" s="24">
        <f>IF(F139="","",TODAY()-F139)</f>
        <v/>
      </c>
      <c r="R139" s="25">
        <f>IF(OR(F139="",I139="✅ Signed",I139="❌ Declined"),"—",IF(AND(Q139&gt;5,I139="❌ Not yet"),"🔴 FOLLOW UP NOW",IF(AND(Q139&gt;14,I139="🔄 Negotiating"),"🔴 STALLING",IF(AND(Q139&gt;=3,Q139&lt;=5,I139="❌ Not yet"),"🟡 DUE SOON","—"))))</f>
        <v/>
      </c>
    </row>
    <row r="140" ht="18" customHeight="1">
      <c r="A140" s="20" t="n"/>
      <c r="B140" s="20" t="n"/>
      <c r="C140" s="20" t="n"/>
      <c r="D140" s="20" t="n"/>
      <c r="E140" s="20" t="n"/>
      <c r="F140" s="21" t="n"/>
      <c r="G140" s="20" t="n"/>
      <c r="H140" s="20" t="n"/>
      <c r="I140" s="20" t="n"/>
      <c r="J140" s="21" t="n"/>
      <c r="K140" s="20" t="n"/>
      <c r="L140" s="21" t="n"/>
      <c r="M140" s="20" t="n"/>
      <c r="N140" s="20" t="n"/>
      <c r="O140" s="21" t="n"/>
      <c r="P140" s="20" t="n"/>
      <c r="Q140" s="24">
        <f>IF(F140="","",TODAY()-F140)</f>
        <v/>
      </c>
      <c r="R140" s="25">
        <f>IF(OR(F140="",I140="✅ Signed",I140="❌ Declined"),"—",IF(AND(Q140&gt;5,I140="❌ Not yet"),"🔴 FOLLOW UP NOW",IF(AND(Q140&gt;14,I140="🔄 Negotiating"),"🔴 STALLING",IF(AND(Q140&gt;=3,Q140&lt;=5,I140="❌ Not yet"),"🟡 DUE SOON","—"))))</f>
        <v/>
      </c>
    </row>
    <row r="141" ht="18" customHeight="1">
      <c r="A141" s="20" t="n"/>
      <c r="B141" s="20" t="n"/>
      <c r="C141" s="20" t="n"/>
      <c r="D141" s="20" t="n"/>
      <c r="E141" s="20" t="n"/>
      <c r="F141" s="21" t="n"/>
      <c r="G141" s="20" t="n"/>
      <c r="H141" s="20" t="n"/>
      <c r="I141" s="20" t="n"/>
      <c r="J141" s="21" t="n"/>
      <c r="K141" s="20" t="n"/>
      <c r="L141" s="21" t="n"/>
      <c r="M141" s="20" t="n"/>
      <c r="N141" s="20" t="n"/>
      <c r="O141" s="21" t="n"/>
      <c r="P141" s="20" t="n"/>
      <c r="Q141" s="24">
        <f>IF(F141="","",TODAY()-F141)</f>
        <v/>
      </c>
      <c r="R141" s="25">
        <f>IF(OR(F141="",I141="✅ Signed",I141="❌ Declined"),"—",IF(AND(Q141&gt;5,I141="❌ Not yet"),"🔴 FOLLOW UP NOW",IF(AND(Q141&gt;14,I141="🔄 Negotiating"),"🔴 STALLING",IF(AND(Q141&gt;=3,Q141&lt;=5,I141="❌ Not yet"),"🟡 DUE SOON","—"))))</f>
        <v/>
      </c>
    </row>
    <row r="142" ht="18" customHeight="1">
      <c r="A142" s="20" t="n"/>
      <c r="B142" s="20" t="n"/>
      <c r="C142" s="20" t="n"/>
      <c r="D142" s="20" t="n"/>
      <c r="E142" s="20" t="n"/>
      <c r="F142" s="21" t="n"/>
      <c r="G142" s="20" t="n"/>
      <c r="H142" s="20" t="n"/>
      <c r="I142" s="20" t="n"/>
      <c r="J142" s="21" t="n"/>
      <c r="K142" s="20" t="n"/>
      <c r="L142" s="21" t="n"/>
      <c r="M142" s="20" t="n"/>
      <c r="N142" s="20" t="n"/>
      <c r="O142" s="21" t="n"/>
      <c r="P142" s="20" t="n"/>
      <c r="Q142" s="24">
        <f>IF(F142="","",TODAY()-F142)</f>
        <v/>
      </c>
      <c r="R142" s="25">
        <f>IF(OR(F142="",I142="✅ Signed",I142="❌ Declined"),"—",IF(AND(Q142&gt;5,I142="❌ Not yet"),"🔴 FOLLOW UP NOW",IF(AND(Q142&gt;14,I142="🔄 Negotiating"),"🔴 STALLING",IF(AND(Q142&gt;=3,Q142&lt;=5,I142="❌ Not yet"),"🟡 DUE SOON","—"))))</f>
        <v/>
      </c>
    </row>
    <row r="143" ht="18" customHeight="1">
      <c r="A143" s="20" t="n"/>
      <c r="B143" s="20" t="n"/>
      <c r="C143" s="20" t="n"/>
      <c r="D143" s="20" t="n"/>
      <c r="E143" s="20" t="n"/>
      <c r="F143" s="21" t="n"/>
      <c r="G143" s="20" t="n"/>
      <c r="H143" s="20" t="n"/>
      <c r="I143" s="20" t="n"/>
      <c r="J143" s="21" t="n"/>
      <c r="K143" s="20" t="n"/>
      <c r="L143" s="21" t="n"/>
      <c r="M143" s="20" t="n"/>
      <c r="N143" s="20" t="n"/>
      <c r="O143" s="21" t="n"/>
      <c r="P143" s="20" t="n"/>
      <c r="Q143" s="24">
        <f>IF(F143="","",TODAY()-F143)</f>
        <v/>
      </c>
      <c r="R143" s="25">
        <f>IF(OR(F143="",I143="✅ Signed",I143="❌ Declined"),"—",IF(AND(Q143&gt;5,I143="❌ Not yet"),"🔴 FOLLOW UP NOW",IF(AND(Q143&gt;14,I143="🔄 Negotiating"),"🔴 STALLING",IF(AND(Q143&gt;=3,Q143&lt;=5,I143="❌ Not yet"),"🟡 DUE SOON","—"))))</f>
        <v/>
      </c>
    </row>
    <row r="144" ht="18" customHeight="1">
      <c r="A144" s="20" t="n"/>
      <c r="B144" s="20" t="n"/>
      <c r="C144" s="20" t="n"/>
      <c r="D144" s="20" t="n"/>
      <c r="E144" s="20" t="n"/>
      <c r="F144" s="21" t="n"/>
      <c r="G144" s="20" t="n"/>
      <c r="H144" s="20" t="n"/>
      <c r="I144" s="20" t="n"/>
      <c r="J144" s="21" t="n"/>
      <c r="K144" s="20" t="n"/>
      <c r="L144" s="21" t="n"/>
      <c r="M144" s="20" t="n"/>
      <c r="N144" s="20" t="n"/>
      <c r="O144" s="21" t="n"/>
      <c r="P144" s="20" t="n"/>
      <c r="Q144" s="24">
        <f>IF(F144="","",TODAY()-F144)</f>
        <v/>
      </c>
      <c r="R144" s="25">
        <f>IF(OR(F144="",I144="✅ Signed",I144="❌ Declined"),"—",IF(AND(Q144&gt;5,I144="❌ Not yet"),"🔴 FOLLOW UP NOW",IF(AND(Q144&gt;14,I144="🔄 Negotiating"),"🔴 STALLING",IF(AND(Q144&gt;=3,Q144&lt;=5,I144="❌ Not yet"),"🟡 DUE SOON","—"))))</f>
        <v/>
      </c>
    </row>
    <row r="145" ht="18" customHeight="1">
      <c r="A145" s="20" t="n"/>
      <c r="B145" s="20" t="n"/>
      <c r="C145" s="20" t="n"/>
      <c r="D145" s="20" t="n"/>
      <c r="E145" s="20" t="n"/>
      <c r="F145" s="21" t="n"/>
      <c r="G145" s="20" t="n"/>
      <c r="H145" s="20" t="n"/>
      <c r="I145" s="20" t="n"/>
      <c r="J145" s="21" t="n"/>
      <c r="K145" s="20" t="n"/>
      <c r="L145" s="21" t="n"/>
      <c r="M145" s="20" t="n"/>
      <c r="N145" s="20" t="n"/>
      <c r="O145" s="21" t="n"/>
      <c r="P145" s="20" t="n"/>
      <c r="Q145" s="24">
        <f>IF(F145="","",TODAY()-F145)</f>
        <v/>
      </c>
      <c r="R145" s="25">
        <f>IF(OR(F145="",I145="✅ Signed",I145="❌ Declined"),"—",IF(AND(Q145&gt;5,I145="❌ Not yet"),"🔴 FOLLOW UP NOW",IF(AND(Q145&gt;14,I145="🔄 Negotiating"),"🔴 STALLING",IF(AND(Q145&gt;=3,Q145&lt;=5,I145="❌ Not yet"),"🟡 DUE SOON","—"))))</f>
        <v/>
      </c>
    </row>
    <row r="146" ht="18" customHeight="1">
      <c r="A146" s="20" t="n"/>
      <c r="B146" s="20" t="n"/>
      <c r="C146" s="20" t="n"/>
      <c r="D146" s="20" t="n"/>
      <c r="E146" s="20" t="n"/>
      <c r="F146" s="21" t="n"/>
      <c r="G146" s="20" t="n"/>
      <c r="H146" s="20" t="n"/>
      <c r="I146" s="20" t="n"/>
      <c r="J146" s="21" t="n"/>
      <c r="K146" s="20" t="n"/>
      <c r="L146" s="21" t="n"/>
      <c r="M146" s="20" t="n"/>
      <c r="N146" s="20" t="n"/>
      <c r="O146" s="21" t="n"/>
      <c r="P146" s="20" t="n"/>
      <c r="Q146" s="24">
        <f>IF(F146="","",TODAY()-F146)</f>
        <v/>
      </c>
      <c r="R146" s="25">
        <f>IF(OR(F146="",I146="✅ Signed",I146="❌ Declined"),"—",IF(AND(Q146&gt;5,I146="❌ Not yet"),"🔴 FOLLOW UP NOW",IF(AND(Q146&gt;14,I146="🔄 Negotiating"),"🔴 STALLING",IF(AND(Q146&gt;=3,Q146&lt;=5,I146="❌ Not yet"),"🟡 DUE SOON","—"))))</f>
        <v/>
      </c>
    </row>
    <row r="147" ht="18" customHeight="1">
      <c r="A147" s="20" t="n"/>
      <c r="B147" s="20" t="n"/>
      <c r="C147" s="20" t="n"/>
      <c r="D147" s="20" t="n"/>
      <c r="E147" s="20" t="n"/>
      <c r="F147" s="21" t="n"/>
      <c r="G147" s="20" t="n"/>
      <c r="H147" s="20" t="n"/>
      <c r="I147" s="20" t="n"/>
      <c r="J147" s="21" t="n"/>
      <c r="K147" s="20" t="n"/>
      <c r="L147" s="21" t="n"/>
      <c r="M147" s="20" t="n"/>
      <c r="N147" s="20" t="n"/>
      <c r="O147" s="21" t="n"/>
      <c r="P147" s="20" t="n"/>
      <c r="Q147" s="24">
        <f>IF(F147="","",TODAY()-F147)</f>
        <v/>
      </c>
      <c r="R147" s="25">
        <f>IF(OR(F147="",I147="✅ Signed",I147="❌ Declined"),"—",IF(AND(Q147&gt;5,I147="❌ Not yet"),"🔴 FOLLOW UP NOW",IF(AND(Q147&gt;14,I147="🔄 Negotiating"),"🔴 STALLING",IF(AND(Q147&gt;=3,Q147&lt;=5,I147="❌ Not yet"),"🟡 DUE SOON","—"))))</f>
        <v/>
      </c>
    </row>
    <row r="148" ht="18" customHeight="1">
      <c r="A148" s="20" t="n"/>
      <c r="B148" s="20" t="n"/>
      <c r="C148" s="20" t="n"/>
      <c r="D148" s="20" t="n"/>
      <c r="E148" s="20" t="n"/>
      <c r="F148" s="21" t="n"/>
      <c r="G148" s="20" t="n"/>
      <c r="H148" s="20" t="n"/>
      <c r="I148" s="20" t="n"/>
      <c r="J148" s="21" t="n"/>
      <c r="K148" s="20" t="n"/>
      <c r="L148" s="21" t="n"/>
      <c r="M148" s="20" t="n"/>
      <c r="N148" s="20" t="n"/>
      <c r="O148" s="21" t="n"/>
      <c r="P148" s="20" t="n"/>
      <c r="Q148" s="24">
        <f>IF(F148="","",TODAY()-F148)</f>
        <v/>
      </c>
      <c r="R148" s="25">
        <f>IF(OR(F148="",I148="✅ Signed",I148="❌ Declined"),"—",IF(AND(Q148&gt;5,I148="❌ Not yet"),"🔴 FOLLOW UP NOW",IF(AND(Q148&gt;14,I148="🔄 Negotiating"),"🔴 STALLING",IF(AND(Q148&gt;=3,Q148&lt;=5,I148="❌ Not yet"),"🟡 DUE SOON","—"))))</f>
        <v/>
      </c>
    </row>
    <row r="149" ht="18" customHeight="1">
      <c r="A149" s="20" t="n"/>
      <c r="B149" s="20" t="n"/>
      <c r="C149" s="20" t="n"/>
      <c r="D149" s="20" t="n"/>
      <c r="E149" s="20" t="n"/>
      <c r="F149" s="21" t="n"/>
      <c r="G149" s="20" t="n"/>
      <c r="H149" s="20" t="n"/>
      <c r="I149" s="20" t="n"/>
      <c r="J149" s="21" t="n"/>
      <c r="K149" s="20" t="n"/>
      <c r="L149" s="21" t="n"/>
      <c r="M149" s="20" t="n"/>
      <c r="N149" s="20" t="n"/>
      <c r="O149" s="21" t="n"/>
      <c r="P149" s="20" t="n"/>
      <c r="Q149" s="24">
        <f>IF(F149="","",TODAY()-F149)</f>
        <v/>
      </c>
      <c r="R149" s="25">
        <f>IF(OR(F149="",I149="✅ Signed",I149="❌ Declined"),"—",IF(AND(Q149&gt;5,I149="❌ Not yet"),"🔴 FOLLOW UP NOW",IF(AND(Q149&gt;14,I149="🔄 Negotiating"),"🔴 STALLING",IF(AND(Q149&gt;=3,Q149&lt;=5,I149="❌ Not yet"),"🟡 DUE SOON","—"))))</f>
        <v/>
      </c>
    </row>
    <row r="150" ht="18" customHeight="1">
      <c r="A150" s="20" t="n"/>
      <c r="B150" s="20" t="n"/>
      <c r="C150" s="20" t="n"/>
      <c r="D150" s="20" t="n"/>
      <c r="E150" s="20" t="n"/>
      <c r="F150" s="21" t="n"/>
      <c r="G150" s="20" t="n"/>
      <c r="H150" s="20" t="n"/>
      <c r="I150" s="20" t="n"/>
      <c r="J150" s="21" t="n"/>
      <c r="K150" s="20" t="n"/>
      <c r="L150" s="21" t="n"/>
      <c r="M150" s="20" t="n"/>
      <c r="N150" s="20" t="n"/>
      <c r="O150" s="21" t="n"/>
      <c r="P150" s="20" t="n"/>
      <c r="Q150" s="24">
        <f>IF(F150="","",TODAY()-F150)</f>
        <v/>
      </c>
      <c r="R150" s="25">
        <f>IF(OR(F150="",I150="✅ Signed",I150="❌ Declined"),"—",IF(AND(Q150&gt;5,I150="❌ Not yet"),"🔴 FOLLOW UP NOW",IF(AND(Q150&gt;14,I150="🔄 Negotiating"),"🔴 STALLING",IF(AND(Q150&gt;=3,Q150&lt;=5,I150="❌ Not yet"),"🟡 DUE SOON","—"))))</f>
        <v/>
      </c>
    </row>
    <row r="151" ht="18" customHeight="1">
      <c r="A151" s="20" t="n"/>
      <c r="B151" s="20" t="n"/>
      <c r="C151" s="20" t="n"/>
      <c r="D151" s="20" t="n"/>
      <c r="E151" s="20" t="n"/>
      <c r="F151" s="21" t="n"/>
      <c r="G151" s="20" t="n"/>
      <c r="H151" s="20" t="n"/>
      <c r="I151" s="20" t="n"/>
      <c r="J151" s="21" t="n"/>
      <c r="K151" s="20" t="n"/>
      <c r="L151" s="21" t="n"/>
      <c r="M151" s="20" t="n"/>
      <c r="N151" s="20" t="n"/>
      <c r="O151" s="21" t="n"/>
      <c r="P151" s="20" t="n"/>
      <c r="Q151" s="24">
        <f>IF(F151="","",TODAY()-F151)</f>
        <v/>
      </c>
      <c r="R151" s="25">
        <f>IF(OR(F151="",I151="✅ Signed",I151="❌ Declined"),"—",IF(AND(Q151&gt;5,I151="❌ Not yet"),"🔴 FOLLOW UP NOW",IF(AND(Q151&gt;14,I151="🔄 Negotiating"),"🔴 STALLING",IF(AND(Q151&gt;=3,Q151&lt;=5,I151="❌ Not yet"),"🟡 DUE SOON","—"))))</f>
        <v/>
      </c>
    </row>
    <row r="152" ht="18" customHeight="1">
      <c r="A152" s="20" t="n"/>
      <c r="B152" s="20" t="n"/>
      <c r="C152" s="20" t="n"/>
      <c r="D152" s="20" t="n"/>
      <c r="E152" s="20" t="n"/>
      <c r="F152" s="21" t="n"/>
      <c r="G152" s="20" t="n"/>
      <c r="H152" s="20" t="n"/>
      <c r="I152" s="20" t="n"/>
      <c r="J152" s="21" t="n"/>
      <c r="K152" s="20" t="n"/>
      <c r="L152" s="21" t="n"/>
      <c r="M152" s="20" t="n"/>
      <c r="N152" s="20" t="n"/>
      <c r="O152" s="21" t="n"/>
      <c r="P152" s="20" t="n"/>
      <c r="Q152" s="24">
        <f>IF(F152="","",TODAY()-F152)</f>
        <v/>
      </c>
      <c r="R152" s="25">
        <f>IF(OR(F152="",I152="✅ Signed",I152="❌ Declined"),"—",IF(AND(Q152&gt;5,I152="❌ Not yet"),"🔴 FOLLOW UP NOW",IF(AND(Q152&gt;14,I152="🔄 Negotiating"),"🔴 STALLING",IF(AND(Q152&gt;=3,Q152&lt;=5,I152="❌ Not yet"),"🟡 DUE SOON","—"))))</f>
        <v/>
      </c>
    </row>
    <row r="153" ht="18" customHeight="1">
      <c r="A153" s="20" t="n"/>
      <c r="B153" s="20" t="n"/>
      <c r="C153" s="20" t="n"/>
      <c r="D153" s="20" t="n"/>
      <c r="E153" s="20" t="n"/>
      <c r="F153" s="21" t="n"/>
      <c r="G153" s="20" t="n"/>
      <c r="H153" s="20" t="n"/>
      <c r="I153" s="20" t="n"/>
      <c r="J153" s="21" t="n"/>
      <c r="K153" s="20" t="n"/>
      <c r="L153" s="21" t="n"/>
      <c r="M153" s="20" t="n"/>
      <c r="N153" s="20" t="n"/>
      <c r="O153" s="21" t="n"/>
      <c r="P153" s="20" t="n"/>
      <c r="Q153" s="24">
        <f>IF(F153="","",TODAY()-F153)</f>
        <v/>
      </c>
      <c r="R153" s="25">
        <f>IF(OR(F153="",I153="✅ Signed",I153="❌ Declined"),"—",IF(AND(Q153&gt;5,I153="❌ Not yet"),"🔴 FOLLOW UP NOW",IF(AND(Q153&gt;14,I153="🔄 Negotiating"),"🔴 STALLING",IF(AND(Q153&gt;=3,Q153&lt;=5,I153="❌ Not yet"),"🟡 DUE SOON","—"))))</f>
        <v/>
      </c>
    </row>
    <row r="154" ht="18" customHeight="1">
      <c r="A154" s="20" t="n"/>
      <c r="B154" s="20" t="n"/>
      <c r="C154" s="20" t="n"/>
      <c r="D154" s="20" t="n"/>
      <c r="E154" s="20" t="n"/>
      <c r="F154" s="21" t="n"/>
      <c r="G154" s="20" t="n"/>
      <c r="H154" s="20" t="n"/>
      <c r="I154" s="20" t="n"/>
      <c r="J154" s="21" t="n"/>
      <c r="K154" s="20" t="n"/>
      <c r="L154" s="21" t="n"/>
      <c r="M154" s="20" t="n"/>
      <c r="N154" s="20" t="n"/>
      <c r="O154" s="21" t="n"/>
      <c r="P154" s="20" t="n"/>
      <c r="Q154" s="24">
        <f>IF(F154="","",TODAY()-F154)</f>
        <v/>
      </c>
      <c r="R154" s="25">
        <f>IF(OR(F154="",I154="✅ Signed",I154="❌ Declined"),"—",IF(AND(Q154&gt;5,I154="❌ Not yet"),"🔴 FOLLOW UP NOW",IF(AND(Q154&gt;14,I154="🔄 Negotiating"),"🔴 STALLING",IF(AND(Q154&gt;=3,Q154&lt;=5,I154="❌ Not yet"),"🟡 DUE SOON","—"))))</f>
        <v/>
      </c>
    </row>
    <row r="155" ht="18" customHeight="1">
      <c r="A155" s="20" t="n"/>
      <c r="B155" s="20" t="n"/>
      <c r="C155" s="20" t="n"/>
      <c r="D155" s="20" t="n"/>
      <c r="E155" s="20" t="n"/>
      <c r="F155" s="21" t="n"/>
      <c r="G155" s="20" t="n"/>
      <c r="H155" s="20" t="n"/>
      <c r="I155" s="20" t="n"/>
      <c r="J155" s="21" t="n"/>
      <c r="K155" s="20" t="n"/>
      <c r="L155" s="21" t="n"/>
      <c r="M155" s="20" t="n"/>
      <c r="N155" s="20" t="n"/>
      <c r="O155" s="21" t="n"/>
      <c r="P155" s="20" t="n"/>
      <c r="Q155" s="24">
        <f>IF(F155="","",TODAY()-F155)</f>
        <v/>
      </c>
      <c r="R155" s="25">
        <f>IF(OR(F155="",I155="✅ Signed",I155="❌ Declined"),"—",IF(AND(Q155&gt;5,I155="❌ Not yet"),"🔴 FOLLOW UP NOW",IF(AND(Q155&gt;14,I155="🔄 Negotiating"),"🔴 STALLING",IF(AND(Q155&gt;=3,Q155&lt;=5,I155="❌ Not yet"),"🟡 DUE SOON","—"))))</f>
        <v/>
      </c>
    </row>
    <row r="156" ht="18" customHeight="1">
      <c r="A156" s="20" t="n"/>
      <c r="B156" s="20" t="n"/>
      <c r="C156" s="20" t="n"/>
      <c r="D156" s="20" t="n"/>
      <c r="E156" s="20" t="n"/>
      <c r="F156" s="21" t="n"/>
      <c r="G156" s="20" t="n"/>
      <c r="H156" s="20" t="n"/>
      <c r="I156" s="20" t="n"/>
      <c r="J156" s="21" t="n"/>
      <c r="K156" s="20" t="n"/>
      <c r="L156" s="21" t="n"/>
      <c r="M156" s="20" t="n"/>
      <c r="N156" s="20" t="n"/>
      <c r="O156" s="21" t="n"/>
      <c r="P156" s="20" t="n"/>
      <c r="Q156" s="24">
        <f>IF(F156="","",TODAY()-F156)</f>
        <v/>
      </c>
      <c r="R156" s="25">
        <f>IF(OR(F156="",I156="✅ Signed",I156="❌ Declined"),"—",IF(AND(Q156&gt;5,I156="❌ Not yet"),"🔴 FOLLOW UP NOW",IF(AND(Q156&gt;14,I156="🔄 Negotiating"),"🔴 STALLING",IF(AND(Q156&gt;=3,Q156&lt;=5,I156="❌ Not yet"),"🟡 DUE SOON","—"))))</f>
        <v/>
      </c>
    </row>
    <row r="157" ht="18" customHeight="1">
      <c r="A157" s="20" t="n"/>
      <c r="B157" s="20" t="n"/>
      <c r="C157" s="20" t="n"/>
      <c r="D157" s="20" t="n"/>
      <c r="E157" s="20" t="n"/>
      <c r="F157" s="21" t="n"/>
      <c r="G157" s="20" t="n"/>
      <c r="H157" s="20" t="n"/>
      <c r="I157" s="20" t="n"/>
      <c r="J157" s="21" t="n"/>
      <c r="K157" s="20" t="n"/>
      <c r="L157" s="21" t="n"/>
      <c r="M157" s="20" t="n"/>
      <c r="N157" s="20" t="n"/>
      <c r="O157" s="21" t="n"/>
      <c r="P157" s="20" t="n"/>
      <c r="Q157" s="24">
        <f>IF(F157="","",TODAY()-F157)</f>
        <v/>
      </c>
      <c r="R157" s="25">
        <f>IF(OR(F157="",I157="✅ Signed",I157="❌ Declined"),"—",IF(AND(Q157&gt;5,I157="❌ Not yet"),"🔴 FOLLOW UP NOW",IF(AND(Q157&gt;14,I157="🔄 Negotiating"),"🔴 STALLING",IF(AND(Q157&gt;=3,Q157&lt;=5,I157="❌ Not yet"),"🟡 DUE SOON","—"))))</f>
        <v/>
      </c>
    </row>
    <row r="158" ht="18" customHeight="1">
      <c r="A158" s="20" t="n"/>
      <c r="B158" s="20" t="n"/>
      <c r="C158" s="20" t="n"/>
      <c r="D158" s="20" t="n"/>
      <c r="E158" s="20" t="n"/>
      <c r="F158" s="21" t="n"/>
      <c r="G158" s="20" t="n"/>
      <c r="H158" s="20" t="n"/>
      <c r="I158" s="20" t="n"/>
      <c r="J158" s="21" t="n"/>
      <c r="K158" s="20" t="n"/>
      <c r="L158" s="21" t="n"/>
      <c r="M158" s="20" t="n"/>
      <c r="N158" s="20" t="n"/>
      <c r="O158" s="21" t="n"/>
      <c r="P158" s="20" t="n"/>
      <c r="Q158" s="24">
        <f>IF(F158="","",TODAY()-F158)</f>
        <v/>
      </c>
      <c r="R158" s="25">
        <f>IF(OR(F158="",I158="✅ Signed",I158="❌ Declined"),"—",IF(AND(Q158&gt;5,I158="❌ Not yet"),"🔴 FOLLOW UP NOW",IF(AND(Q158&gt;14,I158="🔄 Negotiating"),"🔴 STALLING",IF(AND(Q158&gt;=3,Q158&lt;=5,I158="❌ Not yet"),"🟡 DUE SOON","—"))))</f>
        <v/>
      </c>
    </row>
    <row r="159" ht="18" customHeight="1">
      <c r="A159" s="20" t="n"/>
      <c r="B159" s="20" t="n"/>
      <c r="C159" s="20" t="n"/>
      <c r="D159" s="20" t="n"/>
      <c r="E159" s="20" t="n"/>
      <c r="F159" s="21" t="n"/>
      <c r="G159" s="20" t="n"/>
      <c r="H159" s="20" t="n"/>
      <c r="I159" s="20" t="n"/>
      <c r="J159" s="21" t="n"/>
      <c r="K159" s="20" t="n"/>
      <c r="L159" s="21" t="n"/>
      <c r="M159" s="20" t="n"/>
      <c r="N159" s="20" t="n"/>
      <c r="O159" s="21" t="n"/>
      <c r="P159" s="20" t="n"/>
      <c r="Q159" s="24">
        <f>IF(F159="","",TODAY()-F159)</f>
        <v/>
      </c>
      <c r="R159" s="25">
        <f>IF(OR(F159="",I159="✅ Signed",I159="❌ Declined"),"—",IF(AND(Q159&gt;5,I159="❌ Not yet"),"🔴 FOLLOW UP NOW",IF(AND(Q159&gt;14,I159="🔄 Negotiating"),"🔴 STALLING",IF(AND(Q159&gt;=3,Q159&lt;=5,I159="❌ Not yet"),"🟡 DUE SOON","—"))))</f>
        <v/>
      </c>
    </row>
    <row r="160" ht="18" customHeight="1">
      <c r="A160" s="20" t="n"/>
      <c r="B160" s="20" t="n"/>
      <c r="C160" s="20" t="n"/>
      <c r="D160" s="20" t="n"/>
      <c r="E160" s="20" t="n"/>
      <c r="F160" s="21" t="n"/>
      <c r="G160" s="20" t="n"/>
      <c r="H160" s="20" t="n"/>
      <c r="I160" s="20" t="n"/>
      <c r="J160" s="21" t="n"/>
      <c r="K160" s="20" t="n"/>
      <c r="L160" s="21" t="n"/>
      <c r="M160" s="20" t="n"/>
      <c r="N160" s="20" t="n"/>
      <c r="O160" s="21" t="n"/>
      <c r="P160" s="20" t="n"/>
      <c r="Q160" s="24">
        <f>IF(F160="","",TODAY()-F160)</f>
        <v/>
      </c>
      <c r="R160" s="25">
        <f>IF(OR(F160="",I160="✅ Signed",I160="❌ Declined"),"—",IF(AND(Q160&gt;5,I160="❌ Not yet"),"🔴 FOLLOW UP NOW",IF(AND(Q160&gt;14,I160="🔄 Negotiating"),"🔴 STALLING",IF(AND(Q160&gt;=3,Q160&lt;=5,I160="❌ Not yet"),"🟡 DUE SOON","—"))))</f>
        <v/>
      </c>
    </row>
    <row r="161" ht="18" customHeight="1">
      <c r="A161" s="20" t="n"/>
      <c r="B161" s="20" t="n"/>
      <c r="C161" s="20" t="n"/>
      <c r="D161" s="20" t="n"/>
      <c r="E161" s="20" t="n"/>
      <c r="F161" s="21" t="n"/>
      <c r="G161" s="20" t="n"/>
      <c r="H161" s="20" t="n"/>
      <c r="I161" s="20" t="n"/>
      <c r="J161" s="21" t="n"/>
      <c r="K161" s="20" t="n"/>
      <c r="L161" s="21" t="n"/>
      <c r="M161" s="20" t="n"/>
      <c r="N161" s="20" t="n"/>
      <c r="O161" s="21" t="n"/>
      <c r="P161" s="20" t="n"/>
      <c r="Q161" s="24">
        <f>IF(F161="","",TODAY()-F161)</f>
        <v/>
      </c>
      <c r="R161" s="25">
        <f>IF(OR(F161="",I161="✅ Signed",I161="❌ Declined"),"—",IF(AND(Q161&gt;5,I161="❌ Not yet"),"🔴 FOLLOW UP NOW",IF(AND(Q161&gt;14,I161="🔄 Negotiating"),"🔴 STALLING",IF(AND(Q161&gt;=3,Q161&lt;=5,I161="❌ Not yet"),"🟡 DUE SOON","—"))))</f>
        <v/>
      </c>
    </row>
    <row r="162" ht="18" customHeight="1">
      <c r="A162" s="20" t="n"/>
      <c r="B162" s="20" t="n"/>
      <c r="C162" s="20" t="n"/>
      <c r="D162" s="20" t="n"/>
      <c r="E162" s="20" t="n"/>
      <c r="F162" s="21" t="n"/>
      <c r="G162" s="20" t="n"/>
      <c r="H162" s="20" t="n"/>
      <c r="I162" s="20" t="n"/>
      <c r="J162" s="21" t="n"/>
      <c r="K162" s="20" t="n"/>
      <c r="L162" s="21" t="n"/>
      <c r="M162" s="20" t="n"/>
      <c r="N162" s="20" t="n"/>
      <c r="O162" s="21" t="n"/>
      <c r="P162" s="20" t="n"/>
      <c r="Q162" s="24">
        <f>IF(F162="","",TODAY()-F162)</f>
        <v/>
      </c>
      <c r="R162" s="25">
        <f>IF(OR(F162="",I162="✅ Signed",I162="❌ Declined"),"—",IF(AND(Q162&gt;5,I162="❌ Not yet"),"🔴 FOLLOW UP NOW",IF(AND(Q162&gt;14,I162="🔄 Negotiating"),"🔴 STALLING",IF(AND(Q162&gt;=3,Q162&lt;=5,I162="❌ Not yet"),"🟡 DUE SOON","—"))))</f>
        <v/>
      </c>
    </row>
    <row r="163" ht="18" customHeight="1">
      <c r="A163" s="20" t="n"/>
      <c r="B163" s="20" t="n"/>
      <c r="C163" s="20" t="n"/>
      <c r="D163" s="20" t="n"/>
      <c r="E163" s="20" t="n"/>
      <c r="F163" s="21" t="n"/>
      <c r="G163" s="20" t="n"/>
      <c r="H163" s="20" t="n"/>
      <c r="I163" s="20" t="n"/>
      <c r="J163" s="21" t="n"/>
      <c r="K163" s="20" t="n"/>
      <c r="L163" s="21" t="n"/>
      <c r="M163" s="20" t="n"/>
      <c r="N163" s="20" t="n"/>
      <c r="O163" s="21" t="n"/>
      <c r="P163" s="20" t="n"/>
      <c r="Q163" s="24">
        <f>IF(F163="","",TODAY()-F163)</f>
        <v/>
      </c>
      <c r="R163" s="25">
        <f>IF(OR(F163="",I163="✅ Signed",I163="❌ Declined"),"—",IF(AND(Q163&gt;5,I163="❌ Not yet"),"🔴 FOLLOW UP NOW",IF(AND(Q163&gt;14,I163="🔄 Negotiating"),"🔴 STALLING",IF(AND(Q163&gt;=3,Q163&lt;=5,I163="❌ Not yet"),"🟡 DUE SOON","—"))))</f>
        <v/>
      </c>
    </row>
    <row r="164" ht="18" customHeight="1">
      <c r="A164" s="20" t="n"/>
      <c r="B164" s="20" t="n"/>
      <c r="C164" s="20" t="n"/>
      <c r="D164" s="20" t="n"/>
      <c r="E164" s="20" t="n"/>
      <c r="F164" s="21" t="n"/>
      <c r="G164" s="20" t="n"/>
      <c r="H164" s="20" t="n"/>
      <c r="I164" s="20" t="n"/>
      <c r="J164" s="21" t="n"/>
      <c r="K164" s="20" t="n"/>
      <c r="L164" s="21" t="n"/>
      <c r="M164" s="20" t="n"/>
      <c r="N164" s="20" t="n"/>
      <c r="O164" s="21" t="n"/>
      <c r="P164" s="20" t="n"/>
      <c r="Q164" s="24">
        <f>IF(F164="","",TODAY()-F164)</f>
        <v/>
      </c>
      <c r="R164" s="25">
        <f>IF(OR(F164="",I164="✅ Signed",I164="❌ Declined"),"—",IF(AND(Q164&gt;5,I164="❌ Not yet"),"🔴 FOLLOW UP NOW",IF(AND(Q164&gt;14,I164="🔄 Negotiating"),"🔴 STALLING",IF(AND(Q164&gt;=3,Q164&lt;=5,I164="❌ Not yet"),"🟡 DUE SOON","—"))))</f>
        <v/>
      </c>
    </row>
    <row r="165" ht="18" customHeight="1">
      <c r="A165" s="20" t="n"/>
      <c r="B165" s="20" t="n"/>
      <c r="C165" s="20" t="n"/>
      <c r="D165" s="20" t="n"/>
      <c r="E165" s="20" t="n"/>
      <c r="F165" s="21" t="n"/>
      <c r="G165" s="20" t="n"/>
      <c r="H165" s="20" t="n"/>
      <c r="I165" s="20" t="n"/>
      <c r="J165" s="21" t="n"/>
      <c r="K165" s="20" t="n"/>
      <c r="L165" s="21" t="n"/>
      <c r="M165" s="20" t="n"/>
      <c r="N165" s="20" t="n"/>
      <c r="O165" s="21" t="n"/>
      <c r="P165" s="20" t="n"/>
      <c r="Q165" s="24">
        <f>IF(F165="","",TODAY()-F165)</f>
        <v/>
      </c>
      <c r="R165" s="25">
        <f>IF(OR(F165="",I165="✅ Signed",I165="❌ Declined"),"—",IF(AND(Q165&gt;5,I165="❌ Not yet"),"🔴 FOLLOW UP NOW",IF(AND(Q165&gt;14,I165="🔄 Negotiating"),"🔴 STALLING",IF(AND(Q165&gt;=3,Q165&lt;=5,I165="❌ Not yet"),"🟡 DUE SOON","—"))))</f>
        <v/>
      </c>
    </row>
    <row r="166" ht="18" customHeight="1">
      <c r="A166" s="20" t="n"/>
      <c r="B166" s="20" t="n"/>
      <c r="C166" s="20" t="n"/>
      <c r="D166" s="20" t="n"/>
      <c r="E166" s="20" t="n"/>
      <c r="F166" s="21" t="n"/>
      <c r="G166" s="20" t="n"/>
      <c r="H166" s="20" t="n"/>
      <c r="I166" s="20" t="n"/>
      <c r="J166" s="21" t="n"/>
      <c r="K166" s="20" t="n"/>
      <c r="L166" s="21" t="n"/>
      <c r="M166" s="20" t="n"/>
      <c r="N166" s="20" t="n"/>
      <c r="O166" s="21" t="n"/>
      <c r="P166" s="20" t="n"/>
      <c r="Q166" s="24">
        <f>IF(F166="","",TODAY()-F166)</f>
        <v/>
      </c>
      <c r="R166" s="25">
        <f>IF(OR(F166="",I166="✅ Signed",I166="❌ Declined"),"—",IF(AND(Q166&gt;5,I166="❌ Not yet"),"🔴 FOLLOW UP NOW",IF(AND(Q166&gt;14,I166="🔄 Negotiating"),"🔴 STALLING",IF(AND(Q166&gt;=3,Q166&lt;=5,I166="❌ Not yet"),"🟡 DUE SOON","—"))))</f>
        <v/>
      </c>
    </row>
    <row r="167" ht="18" customHeight="1">
      <c r="A167" s="20" t="n"/>
      <c r="B167" s="20" t="n"/>
      <c r="C167" s="20" t="n"/>
      <c r="D167" s="20" t="n"/>
      <c r="E167" s="20" t="n"/>
      <c r="F167" s="21" t="n"/>
      <c r="G167" s="20" t="n"/>
      <c r="H167" s="20" t="n"/>
      <c r="I167" s="20" t="n"/>
      <c r="J167" s="21" t="n"/>
      <c r="K167" s="20" t="n"/>
      <c r="L167" s="21" t="n"/>
      <c r="M167" s="20" t="n"/>
      <c r="N167" s="20" t="n"/>
      <c r="O167" s="21" t="n"/>
      <c r="P167" s="20" t="n"/>
      <c r="Q167" s="24">
        <f>IF(F167="","",TODAY()-F167)</f>
        <v/>
      </c>
      <c r="R167" s="25">
        <f>IF(OR(F167="",I167="✅ Signed",I167="❌ Declined"),"—",IF(AND(Q167&gt;5,I167="❌ Not yet"),"🔴 FOLLOW UP NOW",IF(AND(Q167&gt;14,I167="🔄 Negotiating"),"🔴 STALLING",IF(AND(Q167&gt;=3,Q167&lt;=5,I167="❌ Not yet"),"🟡 DUE SOON","—"))))</f>
        <v/>
      </c>
    </row>
    <row r="168" ht="18" customHeight="1">
      <c r="A168" s="20" t="n"/>
      <c r="B168" s="20" t="n"/>
      <c r="C168" s="20" t="n"/>
      <c r="D168" s="20" t="n"/>
      <c r="E168" s="20" t="n"/>
      <c r="F168" s="21" t="n"/>
      <c r="G168" s="20" t="n"/>
      <c r="H168" s="20" t="n"/>
      <c r="I168" s="20" t="n"/>
      <c r="J168" s="21" t="n"/>
      <c r="K168" s="20" t="n"/>
      <c r="L168" s="21" t="n"/>
      <c r="M168" s="20" t="n"/>
      <c r="N168" s="20" t="n"/>
      <c r="O168" s="21" t="n"/>
      <c r="P168" s="20" t="n"/>
      <c r="Q168" s="24">
        <f>IF(F168="","",TODAY()-F168)</f>
        <v/>
      </c>
      <c r="R168" s="25">
        <f>IF(OR(F168="",I168="✅ Signed",I168="❌ Declined"),"—",IF(AND(Q168&gt;5,I168="❌ Not yet"),"🔴 FOLLOW UP NOW",IF(AND(Q168&gt;14,I168="🔄 Negotiating"),"🔴 STALLING",IF(AND(Q168&gt;=3,Q168&lt;=5,I168="❌ Not yet"),"🟡 DUE SOON","—"))))</f>
        <v/>
      </c>
    </row>
    <row r="169" ht="18" customHeight="1">
      <c r="A169" s="20" t="n"/>
      <c r="B169" s="20" t="n"/>
      <c r="C169" s="20" t="n"/>
      <c r="D169" s="20" t="n"/>
      <c r="E169" s="20" t="n"/>
      <c r="F169" s="21" t="n"/>
      <c r="G169" s="20" t="n"/>
      <c r="H169" s="20" t="n"/>
      <c r="I169" s="20" t="n"/>
      <c r="J169" s="21" t="n"/>
      <c r="K169" s="20" t="n"/>
      <c r="L169" s="21" t="n"/>
      <c r="M169" s="20" t="n"/>
      <c r="N169" s="20" t="n"/>
      <c r="O169" s="21" t="n"/>
      <c r="P169" s="20" t="n"/>
      <c r="Q169" s="24">
        <f>IF(F169="","",TODAY()-F169)</f>
        <v/>
      </c>
      <c r="R169" s="25">
        <f>IF(OR(F169="",I169="✅ Signed",I169="❌ Declined"),"—",IF(AND(Q169&gt;5,I169="❌ Not yet"),"🔴 FOLLOW UP NOW",IF(AND(Q169&gt;14,I169="🔄 Negotiating"),"🔴 STALLING",IF(AND(Q169&gt;=3,Q169&lt;=5,I169="❌ Not yet"),"🟡 DUE SOON","—"))))</f>
        <v/>
      </c>
    </row>
    <row r="170" ht="18" customHeight="1">
      <c r="A170" s="20" t="n"/>
      <c r="B170" s="20" t="n"/>
      <c r="C170" s="20" t="n"/>
      <c r="D170" s="20" t="n"/>
      <c r="E170" s="20" t="n"/>
      <c r="F170" s="21" t="n"/>
      <c r="G170" s="20" t="n"/>
      <c r="H170" s="20" t="n"/>
      <c r="I170" s="20" t="n"/>
      <c r="J170" s="21" t="n"/>
      <c r="K170" s="20" t="n"/>
      <c r="L170" s="21" t="n"/>
      <c r="M170" s="20" t="n"/>
      <c r="N170" s="20" t="n"/>
      <c r="O170" s="21" t="n"/>
      <c r="P170" s="20" t="n"/>
      <c r="Q170" s="24">
        <f>IF(F170="","",TODAY()-F170)</f>
        <v/>
      </c>
      <c r="R170" s="25">
        <f>IF(OR(F170="",I170="✅ Signed",I170="❌ Declined"),"—",IF(AND(Q170&gt;5,I170="❌ Not yet"),"🔴 FOLLOW UP NOW",IF(AND(Q170&gt;14,I170="🔄 Negotiating"),"🔴 STALLING",IF(AND(Q170&gt;=3,Q170&lt;=5,I170="❌ Not yet"),"🟡 DUE SOON","—"))))</f>
        <v/>
      </c>
    </row>
    <row r="171" ht="18" customHeight="1">
      <c r="A171" s="20" t="n"/>
      <c r="B171" s="20" t="n"/>
      <c r="C171" s="20" t="n"/>
      <c r="D171" s="20" t="n"/>
      <c r="E171" s="20" t="n"/>
      <c r="F171" s="21" t="n"/>
      <c r="G171" s="20" t="n"/>
      <c r="H171" s="20" t="n"/>
      <c r="I171" s="20" t="n"/>
      <c r="J171" s="21" t="n"/>
      <c r="K171" s="20" t="n"/>
      <c r="L171" s="21" t="n"/>
      <c r="M171" s="20" t="n"/>
      <c r="N171" s="20" t="n"/>
      <c r="O171" s="21" t="n"/>
      <c r="P171" s="20" t="n"/>
      <c r="Q171" s="24">
        <f>IF(F171="","",TODAY()-F171)</f>
        <v/>
      </c>
      <c r="R171" s="25">
        <f>IF(OR(F171="",I171="✅ Signed",I171="❌ Declined"),"—",IF(AND(Q171&gt;5,I171="❌ Not yet"),"🔴 FOLLOW UP NOW",IF(AND(Q171&gt;14,I171="🔄 Negotiating"),"🔴 STALLING",IF(AND(Q171&gt;=3,Q171&lt;=5,I171="❌ Not yet"),"🟡 DUE SOON","—"))))</f>
        <v/>
      </c>
    </row>
    <row r="172" ht="18" customHeight="1">
      <c r="A172" s="20" t="n"/>
      <c r="B172" s="20" t="n"/>
      <c r="C172" s="20" t="n"/>
      <c r="D172" s="20" t="n"/>
      <c r="E172" s="20" t="n"/>
      <c r="F172" s="21" t="n"/>
      <c r="G172" s="20" t="n"/>
      <c r="H172" s="20" t="n"/>
      <c r="I172" s="20" t="n"/>
      <c r="J172" s="21" t="n"/>
      <c r="K172" s="20" t="n"/>
      <c r="L172" s="21" t="n"/>
      <c r="M172" s="20" t="n"/>
      <c r="N172" s="20" t="n"/>
      <c r="O172" s="21" t="n"/>
      <c r="P172" s="20" t="n"/>
      <c r="Q172" s="24">
        <f>IF(F172="","",TODAY()-F172)</f>
        <v/>
      </c>
      <c r="R172" s="25">
        <f>IF(OR(F172="",I172="✅ Signed",I172="❌ Declined"),"—",IF(AND(Q172&gt;5,I172="❌ Not yet"),"🔴 FOLLOW UP NOW",IF(AND(Q172&gt;14,I172="🔄 Negotiating"),"🔴 STALLING",IF(AND(Q172&gt;=3,Q172&lt;=5,I172="❌ Not yet"),"🟡 DUE SOON","—"))))</f>
        <v/>
      </c>
    </row>
    <row r="173" ht="18" customHeight="1">
      <c r="A173" s="20" t="n"/>
      <c r="B173" s="20" t="n"/>
      <c r="C173" s="20" t="n"/>
      <c r="D173" s="20" t="n"/>
      <c r="E173" s="20" t="n"/>
      <c r="F173" s="21" t="n"/>
      <c r="G173" s="20" t="n"/>
      <c r="H173" s="20" t="n"/>
      <c r="I173" s="20" t="n"/>
      <c r="J173" s="21" t="n"/>
      <c r="K173" s="20" t="n"/>
      <c r="L173" s="21" t="n"/>
      <c r="M173" s="20" t="n"/>
      <c r="N173" s="20" t="n"/>
      <c r="O173" s="21" t="n"/>
      <c r="P173" s="20" t="n"/>
      <c r="Q173" s="24">
        <f>IF(F173="","",TODAY()-F173)</f>
        <v/>
      </c>
      <c r="R173" s="25">
        <f>IF(OR(F173="",I173="✅ Signed",I173="❌ Declined"),"—",IF(AND(Q173&gt;5,I173="❌ Not yet"),"🔴 FOLLOW UP NOW",IF(AND(Q173&gt;14,I173="🔄 Negotiating"),"🔴 STALLING",IF(AND(Q173&gt;=3,Q173&lt;=5,I173="❌ Not yet"),"🟡 DUE SOON","—"))))</f>
        <v/>
      </c>
    </row>
    <row r="174" ht="18" customHeight="1">
      <c r="A174" s="20" t="n"/>
      <c r="B174" s="20" t="n"/>
      <c r="C174" s="20" t="n"/>
      <c r="D174" s="20" t="n"/>
      <c r="E174" s="20" t="n"/>
      <c r="F174" s="21" t="n"/>
      <c r="G174" s="20" t="n"/>
      <c r="H174" s="20" t="n"/>
      <c r="I174" s="20" t="n"/>
      <c r="J174" s="21" t="n"/>
      <c r="K174" s="20" t="n"/>
      <c r="L174" s="21" t="n"/>
      <c r="M174" s="20" t="n"/>
      <c r="N174" s="20" t="n"/>
      <c r="O174" s="21" t="n"/>
      <c r="P174" s="20" t="n"/>
      <c r="Q174" s="24">
        <f>IF(F174="","",TODAY()-F174)</f>
        <v/>
      </c>
      <c r="R174" s="25">
        <f>IF(OR(F174="",I174="✅ Signed",I174="❌ Declined"),"—",IF(AND(Q174&gt;5,I174="❌ Not yet"),"🔴 FOLLOW UP NOW",IF(AND(Q174&gt;14,I174="🔄 Negotiating"),"🔴 STALLING",IF(AND(Q174&gt;=3,Q174&lt;=5,I174="❌ Not yet"),"🟡 DUE SOON","—"))))</f>
        <v/>
      </c>
    </row>
    <row r="175" ht="18" customHeight="1">
      <c r="A175" s="20" t="n"/>
      <c r="B175" s="20" t="n"/>
      <c r="C175" s="20" t="n"/>
      <c r="D175" s="20" t="n"/>
      <c r="E175" s="20" t="n"/>
      <c r="F175" s="21" t="n"/>
      <c r="G175" s="20" t="n"/>
      <c r="H175" s="20" t="n"/>
      <c r="I175" s="20" t="n"/>
      <c r="J175" s="21" t="n"/>
      <c r="K175" s="20" t="n"/>
      <c r="L175" s="21" t="n"/>
      <c r="M175" s="20" t="n"/>
      <c r="N175" s="20" t="n"/>
      <c r="O175" s="21" t="n"/>
      <c r="P175" s="20" t="n"/>
      <c r="Q175" s="24">
        <f>IF(F175="","",TODAY()-F175)</f>
        <v/>
      </c>
      <c r="R175" s="25">
        <f>IF(OR(F175="",I175="✅ Signed",I175="❌ Declined"),"—",IF(AND(Q175&gt;5,I175="❌ Not yet"),"🔴 FOLLOW UP NOW",IF(AND(Q175&gt;14,I175="🔄 Negotiating"),"🔴 STALLING",IF(AND(Q175&gt;=3,Q175&lt;=5,I175="❌ Not yet"),"🟡 DUE SOON","—"))))</f>
        <v/>
      </c>
    </row>
    <row r="176" ht="18" customHeight="1">
      <c r="A176" s="20" t="n"/>
      <c r="B176" s="20" t="n"/>
      <c r="C176" s="20" t="n"/>
      <c r="D176" s="20" t="n"/>
      <c r="E176" s="20" t="n"/>
      <c r="F176" s="21" t="n"/>
      <c r="G176" s="20" t="n"/>
      <c r="H176" s="20" t="n"/>
      <c r="I176" s="20" t="n"/>
      <c r="J176" s="21" t="n"/>
      <c r="K176" s="20" t="n"/>
      <c r="L176" s="21" t="n"/>
      <c r="M176" s="20" t="n"/>
      <c r="N176" s="20" t="n"/>
      <c r="O176" s="21" t="n"/>
      <c r="P176" s="20" t="n"/>
      <c r="Q176" s="24">
        <f>IF(F176="","",TODAY()-F176)</f>
        <v/>
      </c>
      <c r="R176" s="25">
        <f>IF(OR(F176="",I176="✅ Signed",I176="❌ Declined"),"—",IF(AND(Q176&gt;5,I176="❌ Not yet"),"🔴 FOLLOW UP NOW",IF(AND(Q176&gt;14,I176="🔄 Negotiating"),"🔴 STALLING",IF(AND(Q176&gt;=3,Q176&lt;=5,I176="❌ Not yet"),"🟡 DUE SOON","—"))))</f>
        <v/>
      </c>
    </row>
    <row r="177" ht="18" customHeight="1">
      <c r="A177" s="20" t="n"/>
      <c r="B177" s="20" t="n"/>
      <c r="C177" s="20" t="n"/>
      <c r="D177" s="20" t="n"/>
      <c r="E177" s="20" t="n"/>
      <c r="F177" s="21" t="n"/>
      <c r="G177" s="20" t="n"/>
      <c r="H177" s="20" t="n"/>
      <c r="I177" s="20" t="n"/>
      <c r="J177" s="21" t="n"/>
      <c r="K177" s="20" t="n"/>
      <c r="L177" s="21" t="n"/>
      <c r="M177" s="20" t="n"/>
      <c r="N177" s="20" t="n"/>
      <c r="O177" s="21" t="n"/>
      <c r="P177" s="20" t="n"/>
      <c r="Q177" s="24">
        <f>IF(F177="","",TODAY()-F177)</f>
        <v/>
      </c>
      <c r="R177" s="25">
        <f>IF(OR(F177="",I177="✅ Signed",I177="❌ Declined"),"—",IF(AND(Q177&gt;5,I177="❌ Not yet"),"🔴 FOLLOW UP NOW",IF(AND(Q177&gt;14,I177="🔄 Negotiating"),"🔴 STALLING",IF(AND(Q177&gt;=3,Q177&lt;=5,I177="❌ Not yet"),"🟡 DUE SOON","—"))))</f>
        <v/>
      </c>
    </row>
    <row r="178" ht="18" customHeight="1">
      <c r="A178" s="20" t="n"/>
      <c r="B178" s="20" t="n"/>
      <c r="C178" s="20" t="n"/>
      <c r="D178" s="20" t="n"/>
      <c r="E178" s="20" t="n"/>
      <c r="F178" s="21" t="n"/>
      <c r="G178" s="20" t="n"/>
      <c r="H178" s="20" t="n"/>
      <c r="I178" s="20" t="n"/>
      <c r="J178" s="21" t="n"/>
      <c r="K178" s="20" t="n"/>
      <c r="L178" s="21" t="n"/>
      <c r="M178" s="20" t="n"/>
      <c r="N178" s="20" t="n"/>
      <c r="O178" s="21" t="n"/>
      <c r="P178" s="20" t="n"/>
      <c r="Q178" s="24">
        <f>IF(F178="","",TODAY()-F178)</f>
        <v/>
      </c>
      <c r="R178" s="25">
        <f>IF(OR(F178="",I178="✅ Signed",I178="❌ Declined"),"—",IF(AND(Q178&gt;5,I178="❌ Not yet"),"🔴 FOLLOW UP NOW",IF(AND(Q178&gt;14,I178="🔄 Negotiating"),"🔴 STALLING",IF(AND(Q178&gt;=3,Q178&lt;=5,I178="❌ Not yet"),"🟡 DUE SOON","—"))))</f>
        <v/>
      </c>
    </row>
    <row r="179" ht="18" customHeight="1">
      <c r="A179" s="20" t="n"/>
      <c r="B179" s="20" t="n"/>
      <c r="C179" s="20" t="n"/>
      <c r="D179" s="20" t="n"/>
      <c r="E179" s="20" t="n"/>
      <c r="F179" s="21" t="n"/>
      <c r="G179" s="20" t="n"/>
      <c r="H179" s="20" t="n"/>
      <c r="I179" s="20" t="n"/>
      <c r="J179" s="21" t="n"/>
      <c r="K179" s="20" t="n"/>
      <c r="L179" s="21" t="n"/>
      <c r="M179" s="20" t="n"/>
      <c r="N179" s="20" t="n"/>
      <c r="O179" s="21" t="n"/>
      <c r="P179" s="20" t="n"/>
      <c r="Q179" s="24">
        <f>IF(F179="","",TODAY()-F179)</f>
        <v/>
      </c>
      <c r="R179" s="25">
        <f>IF(OR(F179="",I179="✅ Signed",I179="❌ Declined"),"—",IF(AND(Q179&gt;5,I179="❌ Not yet"),"🔴 FOLLOW UP NOW",IF(AND(Q179&gt;14,I179="🔄 Negotiating"),"🔴 STALLING",IF(AND(Q179&gt;=3,Q179&lt;=5,I179="❌ Not yet"),"🟡 DUE SOON","—"))))</f>
        <v/>
      </c>
    </row>
    <row r="180" ht="18" customHeight="1">
      <c r="A180" s="20" t="n"/>
      <c r="B180" s="20" t="n"/>
      <c r="C180" s="20" t="n"/>
      <c r="D180" s="20" t="n"/>
      <c r="E180" s="20" t="n"/>
      <c r="F180" s="21" t="n"/>
      <c r="G180" s="20" t="n"/>
      <c r="H180" s="20" t="n"/>
      <c r="I180" s="20" t="n"/>
      <c r="J180" s="21" t="n"/>
      <c r="K180" s="20" t="n"/>
      <c r="L180" s="21" t="n"/>
      <c r="M180" s="20" t="n"/>
      <c r="N180" s="20" t="n"/>
      <c r="O180" s="21" t="n"/>
      <c r="P180" s="20" t="n"/>
      <c r="Q180" s="24">
        <f>IF(F180="","",TODAY()-F180)</f>
        <v/>
      </c>
      <c r="R180" s="25">
        <f>IF(OR(F180="",I180="✅ Signed",I180="❌ Declined"),"—",IF(AND(Q180&gt;5,I180="❌ Not yet"),"🔴 FOLLOW UP NOW",IF(AND(Q180&gt;14,I180="🔄 Negotiating"),"🔴 STALLING",IF(AND(Q180&gt;=3,Q180&lt;=5,I180="❌ Not yet"),"🟡 DUE SOON","—"))))</f>
        <v/>
      </c>
    </row>
    <row r="181" ht="18" customHeight="1">
      <c r="A181" s="20" t="n"/>
      <c r="B181" s="20" t="n"/>
      <c r="C181" s="20" t="n"/>
      <c r="D181" s="20" t="n"/>
      <c r="E181" s="20" t="n"/>
      <c r="F181" s="21" t="n"/>
      <c r="G181" s="20" t="n"/>
      <c r="H181" s="20" t="n"/>
      <c r="I181" s="20" t="n"/>
      <c r="J181" s="21" t="n"/>
      <c r="K181" s="20" t="n"/>
      <c r="L181" s="21" t="n"/>
      <c r="M181" s="20" t="n"/>
      <c r="N181" s="20" t="n"/>
      <c r="O181" s="21" t="n"/>
      <c r="P181" s="20" t="n"/>
      <c r="Q181" s="24">
        <f>IF(F181="","",TODAY()-F181)</f>
        <v/>
      </c>
      <c r="R181" s="25">
        <f>IF(OR(F181="",I181="✅ Signed",I181="❌ Declined"),"—",IF(AND(Q181&gt;5,I181="❌ Not yet"),"🔴 FOLLOW UP NOW",IF(AND(Q181&gt;14,I181="🔄 Negotiating"),"🔴 STALLING",IF(AND(Q181&gt;=3,Q181&lt;=5,I181="❌ Not yet"),"🟡 DUE SOON","—"))))</f>
        <v/>
      </c>
    </row>
    <row r="182" ht="18" customHeight="1">
      <c r="A182" s="20" t="n"/>
      <c r="B182" s="20" t="n"/>
      <c r="C182" s="20" t="n"/>
      <c r="D182" s="20" t="n"/>
      <c r="E182" s="20" t="n"/>
      <c r="F182" s="21" t="n"/>
      <c r="G182" s="20" t="n"/>
      <c r="H182" s="20" t="n"/>
      <c r="I182" s="20" t="n"/>
      <c r="J182" s="21" t="n"/>
      <c r="K182" s="20" t="n"/>
      <c r="L182" s="21" t="n"/>
      <c r="M182" s="20" t="n"/>
      <c r="N182" s="20" t="n"/>
      <c r="O182" s="21" t="n"/>
      <c r="P182" s="20" t="n"/>
      <c r="Q182" s="24">
        <f>IF(F182="","",TODAY()-F182)</f>
        <v/>
      </c>
      <c r="R182" s="25">
        <f>IF(OR(F182="",I182="✅ Signed",I182="❌ Declined"),"—",IF(AND(Q182&gt;5,I182="❌ Not yet"),"🔴 FOLLOW UP NOW",IF(AND(Q182&gt;14,I182="🔄 Negotiating"),"🔴 STALLING",IF(AND(Q182&gt;=3,Q182&lt;=5,I182="❌ Not yet"),"🟡 DUE SOON","—"))))</f>
        <v/>
      </c>
    </row>
    <row r="183" ht="18" customHeight="1">
      <c r="A183" s="20" t="n"/>
      <c r="B183" s="20" t="n"/>
      <c r="C183" s="20" t="n"/>
      <c r="D183" s="20" t="n"/>
      <c r="E183" s="20" t="n"/>
      <c r="F183" s="21" t="n"/>
      <c r="G183" s="20" t="n"/>
      <c r="H183" s="20" t="n"/>
      <c r="I183" s="20" t="n"/>
      <c r="J183" s="21" t="n"/>
      <c r="K183" s="20" t="n"/>
      <c r="L183" s="21" t="n"/>
      <c r="M183" s="20" t="n"/>
      <c r="N183" s="20" t="n"/>
      <c r="O183" s="21" t="n"/>
      <c r="P183" s="20" t="n"/>
      <c r="Q183" s="24">
        <f>IF(F183="","",TODAY()-F183)</f>
        <v/>
      </c>
      <c r="R183" s="25">
        <f>IF(OR(F183="",I183="✅ Signed",I183="❌ Declined"),"—",IF(AND(Q183&gt;5,I183="❌ Not yet"),"🔴 FOLLOW UP NOW",IF(AND(Q183&gt;14,I183="🔄 Negotiating"),"🔴 STALLING",IF(AND(Q183&gt;=3,Q183&lt;=5,I183="❌ Not yet"),"🟡 DUE SOON","—"))))</f>
        <v/>
      </c>
    </row>
    <row r="184" ht="18" customHeight="1">
      <c r="A184" s="20" t="n"/>
      <c r="B184" s="20" t="n"/>
      <c r="C184" s="20" t="n"/>
      <c r="D184" s="20" t="n"/>
      <c r="E184" s="20" t="n"/>
      <c r="F184" s="21" t="n"/>
      <c r="G184" s="20" t="n"/>
      <c r="H184" s="20" t="n"/>
      <c r="I184" s="20" t="n"/>
      <c r="J184" s="21" t="n"/>
      <c r="K184" s="20" t="n"/>
      <c r="L184" s="21" t="n"/>
      <c r="M184" s="20" t="n"/>
      <c r="N184" s="20" t="n"/>
      <c r="O184" s="21" t="n"/>
      <c r="P184" s="20" t="n"/>
      <c r="Q184" s="24">
        <f>IF(F184="","",TODAY()-F184)</f>
        <v/>
      </c>
      <c r="R184" s="25">
        <f>IF(OR(F184="",I184="✅ Signed",I184="❌ Declined"),"—",IF(AND(Q184&gt;5,I184="❌ Not yet"),"🔴 FOLLOW UP NOW",IF(AND(Q184&gt;14,I184="🔄 Negotiating"),"🔴 STALLING",IF(AND(Q184&gt;=3,Q184&lt;=5,I184="❌ Not yet"),"🟡 DUE SOON","—"))))</f>
        <v/>
      </c>
    </row>
    <row r="185" ht="18" customHeight="1">
      <c r="A185" s="20" t="n"/>
      <c r="B185" s="20" t="n"/>
      <c r="C185" s="20" t="n"/>
      <c r="D185" s="20" t="n"/>
      <c r="E185" s="20" t="n"/>
      <c r="F185" s="21" t="n"/>
      <c r="G185" s="20" t="n"/>
      <c r="H185" s="20" t="n"/>
      <c r="I185" s="20" t="n"/>
      <c r="J185" s="21" t="n"/>
      <c r="K185" s="20" t="n"/>
      <c r="L185" s="21" t="n"/>
      <c r="M185" s="20" t="n"/>
      <c r="N185" s="20" t="n"/>
      <c r="O185" s="21" t="n"/>
      <c r="P185" s="20" t="n"/>
      <c r="Q185" s="24">
        <f>IF(F185="","",TODAY()-F185)</f>
        <v/>
      </c>
      <c r="R185" s="25">
        <f>IF(OR(F185="",I185="✅ Signed",I185="❌ Declined"),"—",IF(AND(Q185&gt;5,I185="❌ Not yet"),"🔴 FOLLOW UP NOW",IF(AND(Q185&gt;14,I185="🔄 Negotiating"),"🔴 STALLING",IF(AND(Q185&gt;=3,Q185&lt;=5,I185="❌ Not yet"),"🟡 DUE SOON","—"))))</f>
        <v/>
      </c>
    </row>
    <row r="186" ht="18" customHeight="1">
      <c r="A186" s="20" t="n"/>
      <c r="B186" s="20" t="n"/>
      <c r="C186" s="20" t="n"/>
      <c r="D186" s="20" t="n"/>
      <c r="E186" s="20" t="n"/>
      <c r="F186" s="21" t="n"/>
      <c r="G186" s="20" t="n"/>
      <c r="H186" s="20" t="n"/>
      <c r="I186" s="20" t="n"/>
      <c r="J186" s="21" t="n"/>
      <c r="K186" s="20" t="n"/>
      <c r="L186" s="21" t="n"/>
      <c r="M186" s="20" t="n"/>
      <c r="N186" s="20" t="n"/>
      <c r="O186" s="21" t="n"/>
      <c r="P186" s="20" t="n"/>
      <c r="Q186" s="24">
        <f>IF(F186="","",TODAY()-F186)</f>
        <v/>
      </c>
      <c r="R186" s="25">
        <f>IF(OR(F186="",I186="✅ Signed",I186="❌ Declined"),"—",IF(AND(Q186&gt;5,I186="❌ Not yet"),"🔴 FOLLOW UP NOW",IF(AND(Q186&gt;14,I186="🔄 Negotiating"),"🔴 STALLING",IF(AND(Q186&gt;=3,Q186&lt;=5,I186="❌ Not yet"),"🟡 DUE SOON","—"))))</f>
        <v/>
      </c>
    </row>
    <row r="187" ht="18" customHeight="1">
      <c r="A187" s="20" t="n"/>
      <c r="B187" s="20" t="n"/>
      <c r="C187" s="20" t="n"/>
      <c r="D187" s="20" t="n"/>
      <c r="E187" s="20" t="n"/>
      <c r="F187" s="21" t="n"/>
      <c r="G187" s="20" t="n"/>
      <c r="H187" s="20" t="n"/>
      <c r="I187" s="20" t="n"/>
      <c r="J187" s="21" t="n"/>
      <c r="K187" s="20" t="n"/>
      <c r="L187" s="21" t="n"/>
      <c r="M187" s="20" t="n"/>
      <c r="N187" s="20" t="n"/>
      <c r="O187" s="21" t="n"/>
      <c r="P187" s="20" t="n"/>
      <c r="Q187" s="24">
        <f>IF(F187="","",TODAY()-F187)</f>
        <v/>
      </c>
      <c r="R187" s="25">
        <f>IF(OR(F187="",I187="✅ Signed",I187="❌ Declined"),"—",IF(AND(Q187&gt;5,I187="❌ Not yet"),"🔴 FOLLOW UP NOW",IF(AND(Q187&gt;14,I187="🔄 Negotiating"),"🔴 STALLING",IF(AND(Q187&gt;=3,Q187&lt;=5,I187="❌ Not yet"),"🟡 DUE SOON","—"))))</f>
        <v/>
      </c>
    </row>
    <row r="188" ht="18" customHeight="1">
      <c r="A188" s="20" t="n"/>
      <c r="B188" s="20" t="n"/>
      <c r="C188" s="20" t="n"/>
      <c r="D188" s="20" t="n"/>
      <c r="E188" s="20" t="n"/>
      <c r="F188" s="21" t="n"/>
      <c r="G188" s="20" t="n"/>
      <c r="H188" s="20" t="n"/>
      <c r="I188" s="20" t="n"/>
      <c r="J188" s="21" t="n"/>
      <c r="K188" s="20" t="n"/>
      <c r="L188" s="21" t="n"/>
      <c r="M188" s="20" t="n"/>
      <c r="N188" s="20" t="n"/>
      <c r="O188" s="21" t="n"/>
      <c r="P188" s="20" t="n"/>
      <c r="Q188" s="24">
        <f>IF(F188="","",TODAY()-F188)</f>
        <v/>
      </c>
      <c r="R188" s="25">
        <f>IF(OR(F188="",I188="✅ Signed",I188="❌ Declined"),"—",IF(AND(Q188&gt;5,I188="❌ Not yet"),"🔴 FOLLOW UP NOW",IF(AND(Q188&gt;14,I188="🔄 Negotiating"),"🔴 STALLING",IF(AND(Q188&gt;=3,Q188&lt;=5,I188="❌ Not yet"),"🟡 DUE SOON","—"))))</f>
        <v/>
      </c>
    </row>
    <row r="189" ht="18" customHeight="1">
      <c r="A189" s="20" t="n"/>
      <c r="B189" s="20" t="n"/>
      <c r="C189" s="20" t="n"/>
      <c r="D189" s="20" t="n"/>
      <c r="E189" s="20" t="n"/>
      <c r="F189" s="21" t="n"/>
      <c r="G189" s="20" t="n"/>
      <c r="H189" s="20" t="n"/>
      <c r="I189" s="20" t="n"/>
      <c r="J189" s="21" t="n"/>
      <c r="K189" s="20" t="n"/>
      <c r="L189" s="21" t="n"/>
      <c r="M189" s="20" t="n"/>
      <c r="N189" s="20" t="n"/>
      <c r="O189" s="21" t="n"/>
      <c r="P189" s="20" t="n"/>
      <c r="Q189" s="24">
        <f>IF(F189="","",TODAY()-F189)</f>
        <v/>
      </c>
      <c r="R189" s="25">
        <f>IF(OR(F189="",I189="✅ Signed",I189="❌ Declined"),"—",IF(AND(Q189&gt;5,I189="❌ Not yet"),"🔴 FOLLOW UP NOW",IF(AND(Q189&gt;14,I189="🔄 Negotiating"),"🔴 STALLING",IF(AND(Q189&gt;=3,Q189&lt;=5,I189="❌ Not yet"),"🟡 DUE SOON","—"))))</f>
        <v/>
      </c>
    </row>
    <row r="190" ht="18" customHeight="1">
      <c r="A190" s="20" t="n"/>
      <c r="B190" s="20" t="n"/>
      <c r="C190" s="20" t="n"/>
      <c r="D190" s="20" t="n"/>
      <c r="E190" s="20" t="n"/>
      <c r="F190" s="21" t="n"/>
      <c r="G190" s="20" t="n"/>
      <c r="H190" s="20" t="n"/>
      <c r="I190" s="20" t="n"/>
      <c r="J190" s="21" t="n"/>
      <c r="K190" s="20" t="n"/>
      <c r="L190" s="21" t="n"/>
      <c r="M190" s="20" t="n"/>
      <c r="N190" s="20" t="n"/>
      <c r="O190" s="21" t="n"/>
      <c r="P190" s="20" t="n"/>
      <c r="Q190" s="24">
        <f>IF(F190="","",TODAY()-F190)</f>
        <v/>
      </c>
      <c r="R190" s="25">
        <f>IF(OR(F190="",I190="✅ Signed",I190="❌ Declined"),"—",IF(AND(Q190&gt;5,I190="❌ Not yet"),"🔴 FOLLOW UP NOW",IF(AND(Q190&gt;14,I190="🔄 Negotiating"),"🔴 STALLING",IF(AND(Q190&gt;=3,Q190&lt;=5,I190="❌ Not yet"),"🟡 DUE SOON","—"))))</f>
        <v/>
      </c>
    </row>
    <row r="191" ht="18" customHeight="1">
      <c r="A191" s="20" t="n"/>
      <c r="B191" s="20" t="n"/>
      <c r="C191" s="20" t="n"/>
      <c r="D191" s="20" t="n"/>
      <c r="E191" s="20" t="n"/>
      <c r="F191" s="21" t="n"/>
      <c r="G191" s="20" t="n"/>
      <c r="H191" s="20" t="n"/>
      <c r="I191" s="20" t="n"/>
      <c r="J191" s="21" t="n"/>
      <c r="K191" s="20" t="n"/>
      <c r="L191" s="21" t="n"/>
      <c r="M191" s="20" t="n"/>
      <c r="N191" s="20" t="n"/>
      <c r="O191" s="21" t="n"/>
      <c r="P191" s="20" t="n"/>
      <c r="Q191" s="24">
        <f>IF(F191="","",TODAY()-F191)</f>
        <v/>
      </c>
      <c r="R191" s="25">
        <f>IF(OR(F191="",I191="✅ Signed",I191="❌ Declined"),"—",IF(AND(Q191&gt;5,I191="❌ Not yet"),"🔴 FOLLOW UP NOW",IF(AND(Q191&gt;14,I191="🔄 Negotiating"),"🔴 STALLING",IF(AND(Q191&gt;=3,Q191&lt;=5,I191="❌ Not yet"),"🟡 DUE SOON","—"))))</f>
        <v/>
      </c>
    </row>
    <row r="192" ht="18" customHeight="1">
      <c r="A192" s="20" t="n"/>
      <c r="B192" s="20" t="n"/>
      <c r="C192" s="20" t="n"/>
      <c r="D192" s="20" t="n"/>
      <c r="E192" s="20" t="n"/>
      <c r="F192" s="21" t="n"/>
      <c r="G192" s="20" t="n"/>
      <c r="H192" s="20" t="n"/>
      <c r="I192" s="20" t="n"/>
      <c r="J192" s="21" t="n"/>
      <c r="K192" s="20" t="n"/>
      <c r="L192" s="21" t="n"/>
      <c r="M192" s="20" t="n"/>
      <c r="N192" s="20" t="n"/>
      <c r="O192" s="21" t="n"/>
      <c r="P192" s="20" t="n"/>
      <c r="Q192" s="24">
        <f>IF(F192="","",TODAY()-F192)</f>
        <v/>
      </c>
      <c r="R192" s="25">
        <f>IF(OR(F192="",I192="✅ Signed",I192="❌ Declined"),"—",IF(AND(Q192&gt;5,I192="❌ Not yet"),"🔴 FOLLOW UP NOW",IF(AND(Q192&gt;14,I192="🔄 Negotiating"),"🔴 STALLING",IF(AND(Q192&gt;=3,Q192&lt;=5,I192="❌ Not yet"),"🟡 DUE SOON","—"))))</f>
        <v/>
      </c>
    </row>
    <row r="193" ht="18" customHeight="1">
      <c r="A193" s="20" t="n"/>
      <c r="B193" s="20" t="n"/>
      <c r="C193" s="20" t="n"/>
      <c r="D193" s="20" t="n"/>
      <c r="E193" s="20" t="n"/>
      <c r="F193" s="21" t="n"/>
      <c r="G193" s="20" t="n"/>
      <c r="H193" s="20" t="n"/>
      <c r="I193" s="20" t="n"/>
      <c r="J193" s="21" t="n"/>
      <c r="K193" s="20" t="n"/>
      <c r="L193" s="21" t="n"/>
      <c r="M193" s="20" t="n"/>
      <c r="N193" s="20" t="n"/>
      <c r="O193" s="21" t="n"/>
      <c r="P193" s="20" t="n"/>
      <c r="Q193" s="24">
        <f>IF(F193="","",TODAY()-F193)</f>
        <v/>
      </c>
      <c r="R193" s="25">
        <f>IF(OR(F193="",I193="✅ Signed",I193="❌ Declined"),"—",IF(AND(Q193&gt;5,I193="❌ Not yet"),"🔴 FOLLOW UP NOW",IF(AND(Q193&gt;14,I193="🔄 Negotiating"),"🔴 STALLING",IF(AND(Q193&gt;=3,Q193&lt;=5,I193="❌ Not yet"),"🟡 DUE SOON","—"))))</f>
        <v/>
      </c>
    </row>
    <row r="194" ht="18" customHeight="1">
      <c r="A194" s="20" t="n"/>
      <c r="B194" s="20" t="n"/>
      <c r="C194" s="20" t="n"/>
      <c r="D194" s="20" t="n"/>
      <c r="E194" s="20" t="n"/>
      <c r="F194" s="21" t="n"/>
      <c r="G194" s="20" t="n"/>
      <c r="H194" s="20" t="n"/>
      <c r="I194" s="20" t="n"/>
      <c r="J194" s="21" t="n"/>
      <c r="K194" s="20" t="n"/>
      <c r="L194" s="21" t="n"/>
      <c r="M194" s="20" t="n"/>
      <c r="N194" s="20" t="n"/>
      <c r="O194" s="21" t="n"/>
      <c r="P194" s="20" t="n"/>
      <c r="Q194" s="24">
        <f>IF(F194="","",TODAY()-F194)</f>
        <v/>
      </c>
      <c r="R194" s="25">
        <f>IF(OR(F194="",I194="✅ Signed",I194="❌ Declined"),"—",IF(AND(Q194&gt;5,I194="❌ Not yet"),"🔴 FOLLOW UP NOW",IF(AND(Q194&gt;14,I194="🔄 Negotiating"),"🔴 STALLING",IF(AND(Q194&gt;=3,Q194&lt;=5,I194="❌ Not yet"),"🟡 DUE SOON","—"))))</f>
        <v/>
      </c>
    </row>
    <row r="195" ht="18" customHeight="1">
      <c r="A195" s="20" t="n"/>
      <c r="B195" s="20" t="n"/>
      <c r="C195" s="20" t="n"/>
      <c r="D195" s="20" t="n"/>
      <c r="E195" s="20" t="n"/>
      <c r="F195" s="21" t="n"/>
      <c r="G195" s="20" t="n"/>
      <c r="H195" s="20" t="n"/>
      <c r="I195" s="20" t="n"/>
      <c r="J195" s="21" t="n"/>
      <c r="K195" s="20" t="n"/>
      <c r="L195" s="21" t="n"/>
      <c r="M195" s="20" t="n"/>
      <c r="N195" s="20" t="n"/>
      <c r="O195" s="21" t="n"/>
      <c r="P195" s="20" t="n"/>
      <c r="Q195" s="24">
        <f>IF(F195="","",TODAY()-F195)</f>
        <v/>
      </c>
      <c r="R195" s="25">
        <f>IF(OR(F195="",I195="✅ Signed",I195="❌ Declined"),"—",IF(AND(Q195&gt;5,I195="❌ Not yet"),"🔴 FOLLOW UP NOW",IF(AND(Q195&gt;14,I195="🔄 Negotiating"),"🔴 STALLING",IF(AND(Q195&gt;=3,Q195&lt;=5,I195="❌ Not yet"),"🟡 DUE SOON","—"))))</f>
        <v/>
      </c>
    </row>
    <row r="196" ht="18" customHeight="1">
      <c r="A196" s="20" t="n"/>
      <c r="B196" s="20" t="n"/>
      <c r="C196" s="20" t="n"/>
      <c r="D196" s="20" t="n"/>
      <c r="E196" s="20" t="n"/>
      <c r="F196" s="21" t="n"/>
      <c r="G196" s="20" t="n"/>
      <c r="H196" s="20" t="n"/>
      <c r="I196" s="20" t="n"/>
      <c r="J196" s="21" t="n"/>
      <c r="K196" s="20" t="n"/>
      <c r="L196" s="21" t="n"/>
      <c r="M196" s="20" t="n"/>
      <c r="N196" s="20" t="n"/>
      <c r="O196" s="21" t="n"/>
      <c r="P196" s="20" t="n"/>
      <c r="Q196" s="24">
        <f>IF(F196="","",TODAY()-F196)</f>
        <v/>
      </c>
      <c r="R196" s="25">
        <f>IF(OR(F196="",I196="✅ Signed",I196="❌ Declined"),"—",IF(AND(Q196&gt;5,I196="❌ Not yet"),"🔴 FOLLOW UP NOW",IF(AND(Q196&gt;14,I196="🔄 Negotiating"),"🔴 STALLING",IF(AND(Q196&gt;=3,Q196&lt;=5,I196="❌ Not yet"),"🟡 DUE SOON","—"))))</f>
        <v/>
      </c>
    </row>
    <row r="197" ht="18" customHeight="1">
      <c r="A197" s="20" t="n"/>
      <c r="B197" s="20" t="n"/>
      <c r="C197" s="20" t="n"/>
      <c r="D197" s="20" t="n"/>
      <c r="E197" s="20" t="n"/>
      <c r="F197" s="21" t="n"/>
      <c r="G197" s="20" t="n"/>
      <c r="H197" s="20" t="n"/>
      <c r="I197" s="20" t="n"/>
      <c r="J197" s="21" t="n"/>
      <c r="K197" s="20" t="n"/>
      <c r="L197" s="21" t="n"/>
      <c r="M197" s="20" t="n"/>
      <c r="N197" s="20" t="n"/>
      <c r="O197" s="21" t="n"/>
      <c r="P197" s="20" t="n"/>
      <c r="Q197" s="24">
        <f>IF(F197="","",TODAY()-F197)</f>
        <v/>
      </c>
      <c r="R197" s="25">
        <f>IF(OR(F197="",I197="✅ Signed",I197="❌ Declined"),"—",IF(AND(Q197&gt;5,I197="❌ Not yet"),"🔴 FOLLOW UP NOW",IF(AND(Q197&gt;14,I197="🔄 Negotiating"),"🔴 STALLING",IF(AND(Q197&gt;=3,Q197&lt;=5,I197="❌ Not yet"),"🟡 DUE SOON","—"))))</f>
        <v/>
      </c>
    </row>
    <row r="198" ht="18" customHeight="1">
      <c r="A198" s="20" t="n"/>
      <c r="B198" s="20" t="n"/>
      <c r="C198" s="20" t="n"/>
      <c r="D198" s="20" t="n"/>
      <c r="E198" s="20" t="n"/>
      <c r="F198" s="21" t="n"/>
      <c r="G198" s="20" t="n"/>
      <c r="H198" s="20" t="n"/>
      <c r="I198" s="20" t="n"/>
      <c r="J198" s="21" t="n"/>
      <c r="K198" s="20" t="n"/>
      <c r="L198" s="21" t="n"/>
      <c r="M198" s="20" t="n"/>
      <c r="N198" s="20" t="n"/>
      <c r="O198" s="21" t="n"/>
      <c r="P198" s="20" t="n"/>
      <c r="Q198" s="24">
        <f>IF(F198="","",TODAY()-F198)</f>
        <v/>
      </c>
      <c r="R198" s="25">
        <f>IF(OR(F198="",I198="✅ Signed",I198="❌ Declined"),"—",IF(AND(Q198&gt;5,I198="❌ Not yet"),"🔴 FOLLOW UP NOW",IF(AND(Q198&gt;14,I198="🔄 Negotiating"),"🔴 STALLING",IF(AND(Q198&gt;=3,Q198&lt;=5,I198="❌ Not yet"),"🟡 DUE SOON","—"))))</f>
        <v/>
      </c>
    </row>
    <row r="199" ht="18" customHeight="1">
      <c r="A199" s="20" t="n"/>
      <c r="B199" s="20" t="n"/>
      <c r="C199" s="20" t="n"/>
      <c r="D199" s="20" t="n"/>
      <c r="E199" s="20" t="n"/>
      <c r="F199" s="21" t="n"/>
      <c r="G199" s="20" t="n"/>
      <c r="H199" s="20" t="n"/>
      <c r="I199" s="20" t="n"/>
      <c r="J199" s="21" t="n"/>
      <c r="K199" s="20" t="n"/>
      <c r="L199" s="21" t="n"/>
      <c r="M199" s="20" t="n"/>
      <c r="N199" s="20" t="n"/>
      <c r="O199" s="21" t="n"/>
      <c r="P199" s="20" t="n"/>
      <c r="Q199" s="24">
        <f>IF(F199="","",TODAY()-F199)</f>
        <v/>
      </c>
      <c r="R199" s="25">
        <f>IF(OR(F199="",I199="✅ Signed",I199="❌ Declined"),"—",IF(AND(Q199&gt;5,I199="❌ Not yet"),"🔴 FOLLOW UP NOW",IF(AND(Q199&gt;14,I199="🔄 Negotiating"),"🔴 STALLING",IF(AND(Q199&gt;=3,Q199&lt;=5,I199="❌ Not yet"),"🟡 DUE SOON","—"))))</f>
        <v/>
      </c>
    </row>
    <row r="200" ht="18" customHeight="1">
      <c r="A200" s="20" t="n"/>
      <c r="B200" s="20" t="n"/>
      <c r="C200" s="20" t="n"/>
      <c r="D200" s="20" t="n"/>
      <c r="E200" s="20" t="n"/>
      <c r="F200" s="21" t="n"/>
      <c r="G200" s="20" t="n"/>
      <c r="H200" s="20" t="n"/>
      <c r="I200" s="20" t="n"/>
      <c r="J200" s="21" t="n"/>
      <c r="K200" s="20" t="n"/>
      <c r="L200" s="21" t="n"/>
      <c r="M200" s="20" t="n"/>
      <c r="N200" s="20" t="n"/>
      <c r="O200" s="21" t="n"/>
      <c r="P200" s="20" t="n"/>
      <c r="Q200" s="24">
        <f>IF(F200="","",TODAY()-F200)</f>
        <v/>
      </c>
      <c r="R200" s="25">
        <f>IF(OR(F200="",I200="✅ Signed",I200="❌ Declined"),"—",IF(AND(Q200&gt;5,I200="❌ Not yet"),"🔴 FOLLOW UP NOW",IF(AND(Q200&gt;14,I200="🔄 Negotiating"),"🔴 STALLING",IF(AND(Q200&gt;=3,Q200&lt;=5,I200="❌ Not yet"),"🟡 DUE SOON","—"))))</f>
        <v/>
      </c>
    </row>
  </sheetData>
  <autoFilter ref="A4:R4"/>
  <mergeCells count="1">
    <mergeCell ref="A1:P1"/>
  </mergeCells>
  <conditionalFormatting sqref="A5:R200">
    <cfRule type="expression" priority="1" dxfId="19">
      <formula>=$I5="✅ Signed"</formula>
    </cfRule>
    <cfRule type="expression" priority="2" dxfId="8">
      <formula>=$I5="❌ Declined"</formula>
    </cfRule>
    <cfRule type="expression" priority="3" dxfId="20">
      <formula>=$I5="🔄 Negotiating"</formula>
    </cfRule>
    <cfRule type="expression" priority="4" dxfId="11">
      <formula>=$I5="❌ Not yet"</formula>
    </cfRule>
  </conditionalFormatting>
  <conditionalFormatting sqref="R5:R200">
    <cfRule type="expression" priority="5" dxfId="9">
      <formula>=$R5="🔴 FOLLOW UP NOW"</formula>
    </cfRule>
    <cfRule type="expression" priority="6" dxfId="9">
      <formula>=$R5="🔴 STALLING"</formula>
    </cfRule>
    <cfRule type="expression" priority="7" dxfId="13">
      <formula>=$R5="🟡 DUE SOON"</formula>
    </cfRule>
  </conditionalFormatting>
  <conditionalFormatting sqref="Q5:Q200">
    <cfRule type="expression" priority="8" dxfId="2">
      <formula>=AND($Q5&gt;14,$I5="❌ Not yet")</formula>
    </cfRule>
    <cfRule type="expression" priority="9" dxfId="13">
      <formula>=AND($Q5&gt;5,$Q5&lt;=14,$I5="❌ Not yet")</formula>
    </cfRule>
  </conditionalFormatting>
  <conditionalFormatting sqref="J5:J200">
    <cfRule type="expression" priority="10" dxfId="2">
      <formula>=AND($I5="✅ Signed",$J5="")</formula>
    </cfRule>
  </conditionalFormatting>
  <dataValidations count="5">
    <dataValidation sqref="E5:E200" showDropDown="0" showInputMessage="0" showErrorMessage="1" allowBlank="1" errorTitle="Invalid Entry" error="Select from list" type="list">
      <formula1>"Non-binding interest,Binding pilot agreement"</formula1>
    </dataValidation>
    <dataValidation sqref="G5:G200" showDropDown="0" showInputMessage="0" showErrorMessage="1" allowBlank="1" errorTitle="Invalid Entry" error="Select from list" type="list">
      <formula1>"v1,v2,v3"</formula1>
    </dataValidation>
    <dataValidation sqref="I5:I200" showDropDown="0" showInputMessage="0" showErrorMessage="1" allowBlank="1" errorTitle="Invalid Entry" error="Select from list" type="list">
      <formula1>"❌ Not yet,🔄 Negotiating,✅ Signed,❌ Declined"</formula1>
    </dataValidation>
    <dataValidation sqref="K5:K200" showDropDown="0" showInputMessage="0" showErrorMessage="1" allowBlank="1" errorTitle="Invalid Entry" error="Select from list" type="list">
      <formula1>"❌ Not yet,✅ Signed"</formula1>
    </dataValidation>
    <dataValidation sqref="M5:M200" showDropDown="0" showInputMessage="0" showErrorMessage="1" allowBlank="1" errorTitle="Invalid Entry" error="Select from list" type="list">
      <formula1>"Consumer sampling + survey,Survey only,Data panel access,Sampling only"</formula1>
    </dataValidation>
  </dataValidations>
  <pageMargins left="0.75" right="0.75" top="1" bottom="1" header="0.5" footer="0.5"/>
  <pageSetup orientation="landscape" fitToWidth="1"/>
  <headerFooter>
    <oddHeader/>
    <oddFooter>&amp;CMEOS v1.0 · Tajribti Track 0 · Built 2026-07-27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15803D"/>
    <outlinePr summaryBelow="1" summaryRight="1"/>
    <pageSetUpPr fitToPage="1"/>
  </sheetPr>
  <dimension ref="A1:P1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.300000000000001" customWidth="1" min="1" max="1"/>
    <col width="20" customWidth="1" min="2" max="2"/>
    <col width="40" customWidth="1" min="3" max="3"/>
    <col width="33.3" customWidth="1" min="4" max="4"/>
    <col width="8" customWidth="1" min="5" max="5"/>
    <col width="53.3" customWidth="1" min="6" max="6"/>
    <col width="13.3" customWidth="1" min="7" max="7"/>
    <col width="17.3" customWidth="1" min="8" max="8"/>
    <col width="12" customWidth="1" min="9" max="9"/>
    <col width="9.300000000000001" customWidth="1" min="10" max="10"/>
    <col width="13.3" customWidth="1" min="11" max="11"/>
    <col width="14.7" customWidth="1" min="12" max="12"/>
    <col width="16" customWidth="1" min="13" max="13"/>
    <col width="46.7" customWidth="1" min="14" max="14"/>
    <col width="13.3" customWidth="1" min="15" max="15"/>
    <col width="33.3" customWidth="1" min="16" max="16"/>
  </cols>
  <sheetData>
    <row r="1" ht="22.5" customHeight="1">
      <c r="A1" s="26" t="inlineStr">
        <is>
          <t>TAJRIBTI · EXECUTION CALENDAR · 60-Day Track 0</t>
        </is>
      </c>
      <c r="J1" s="40" t="inlineStr">
        <is>
          <t>DAILY EXECUTION LOG</t>
        </is>
      </c>
    </row>
    <row r="2" ht="15" customHeight="1">
      <c r="A2" s="6" t="inlineStr">
        <is>
          <t>Sprint GO Date:</t>
        </is>
      </c>
      <c r="B2" s="41">
        <f>Dashboard!A2</f>
        <v/>
      </c>
      <c r="C2" s="6" t="inlineStr">
        <is>
          <t>Current Day:</t>
        </is>
      </c>
      <c r="D2" s="42">
        <f>TODAY()-Dashboard!A2+1</f>
        <v/>
      </c>
    </row>
    <row r="3" ht="21" customHeight="1">
      <c r="A3" s="43" t="inlineStr">
        <is>
          <t>Week #</t>
        </is>
      </c>
      <c r="B3" s="43" t="inlineStr">
        <is>
          <t>Date Range</t>
        </is>
      </c>
      <c r="C3" s="43" t="inlineStr">
        <is>
          <t>Week Objective</t>
        </is>
      </c>
      <c r="D3" s="43" t="inlineStr">
        <is>
          <t>Milestone</t>
        </is>
      </c>
      <c r="E3" s="43" t="inlineStr">
        <is>
          <t>Task #</t>
        </is>
      </c>
      <c r="F3" s="43" t="inlineStr">
        <is>
          <t>Task Description</t>
        </is>
      </c>
      <c r="G3" s="43" t="inlineStr">
        <is>
          <t>Owner</t>
        </is>
      </c>
      <c r="H3" s="43" t="inlineStr">
        <is>
          <t>Status</t>
        </is>
      </c>
      <c r="I3" s="44" t="n"/>
      <c r="J3" s="45" t="inlineStr">
        <is>
          <t>Week #</t>
        </is>
      </c>
      <c r="K3" s="45" t="inlineStr">
        <is>
          <t>Day</t>
        </is>
      </c>
      <c r="L3" s="45" t="inlineStr">
        <is>
          <t>Date</t>
        </is>
      </c>
      <c r="M3" s="45" t="inlineStr">
        <is>
          <t>Focus Area</t>
        </is>
      </c>
      <c r="N3" s="45" t="inlineStr">
        <is>
          <t>Scheduled Actions</t>
        </is>
      </c>
      <c r="O3" s="45" t="inlineStr">
        <is>
          <t>Completed?</t>
        </is>
      </c>
      <c r="P3" s="45" t="inlineStr">
        <is>
          <t>Notes</t>
        </is>
      </c>
    </row>
    <row r="4" ht="18" customHeight="1">
      <c r="A4" s="46" t="n">
        <v>1</v>
      </c>
      <c r="B4" s="47">
        <f>"Days 1–7: "&amp;TEXT(Dashboard!$A$2,"d mmm")&amp;"–"&amp;TEXT(Dashboard!$A$2+6,"d mmm")</f>
        <v/>
      </c>
      <c r="C4" s="48" t="inlineStr">
        <is>
          <t>System armed and first outreach wave launched</t>
        </is>
      </c>
      <c r="D4" s="48" t="inlineStr">
        <is>
          <t>≥10 brand accounts contacted</t>
        </is>
      </c>
      <c r="E4" s="49" t="n"/>
      <c r="F4" s="49" t="n"/>
      <c r="G4" s="49" t="n"/>
      <c r="H4" s="49" t="n"/>
      <c r="I4" s="50">
        <f>IFERROR(COUNTIF(H5:H14,"✅ Done")/COUNTA(H5:H14),0)</f>
        <v/>
      </c>
      <c r="J4" s="51" t="n">
        <v>1</v>
      </c>
      <c r="K4" s="51" t="inlineStr">
        <is>
          <t>Monday</t>
        </is>
      </c>
      <c r="L4" s="52">
        <f>Dashboard!A2</f>
        <v/>
      </c>
      <c r="M4" s="51" t="inlineStr">
        <is>
          <t>Brand outreach</t>
        </is>
      </c>
      <c r="N4" s="53" t="inlineStr"/>
      <c r="O4" s="51" t="inlineStr">
        <is>
          <t>❌ Not done</t>
        </is>
      </c>
      <c r="P4" s="53" t="inlineStr"/>
    </row>
    <row r="5" ht="18" customHeight="1">
      <c r="A5" s="54" t="n"/>
      <c r="B5" s="54" t="n"/>
      <c r="C5" s="54" t="n"/>
      <c r="D5" s="54" t="n"/>
      <c r="E5" s="51" t="n">
        <v>1</v>
      </c>
      <c r="F5" s="55" t="inlineStr">
        <is>
          <t>Populate CRM with Tier 1 target list (≥15 companies)</t>
        </is>
      </c>
      <c r="G5" s="51" t="inlineStr">
        <is>
          <t>Founder</t>
        </is>
      </c>
      <c r="H5" s="56" t="inlineStr">
        <is>
          <t>❌ Not Started</t>
        </is>
      </c>
      <c r="J5" s="51" t="n">
        <v>1</v>
      </c>
      <c r="K5" s="51" t="inlineStr">
        <is>
          <t>Tuesday</t>
        </is>
      </c>
      <c r="L5" s="52">
        <f>L4+1</f>
        <v/>
      </c>
      <c r="M5" s="51" t="inlineStr">
        <is>
          <t>Brand outreach</t>
        </is>
      </c>
      <c r="N5" s="53" t="inlineStr"/>
      <c r="O5" s="51" t="inlineStr">
        <is>
          <t>❌ Not done</t>
        </is>
      </c>
      <c r="P5" s="53" t="inlineStr"/>
    </row>
    <row r="6" ht="18" customHeight="1">
      <c r="A6" s="54" t="n"/>
      <c r="B6" s="54" t="n"/>
      <c r="C6" s="54" t="n"/>
      <c r="D6" s="54" t="n"/>
      <c r="E6" s="51" t="n">
        <v>2</v>
      </c>
      <c r="F6" s="55" t="inlineStr">
        <is>
          <t>Assign Priority Tier 1/2/3 to all accounts</t>
        </is>
      </c>
      <c r="G6" s="51" t="inlineStr">
        <is>
          <t>Founder</t>
        </is>
      </c>
      <c r="H6" s="56" t="inlineStr">
        <is>
          <t>❌ Not Started</t>
        </is>
      </c>
      <c r="J6" s="51" t="n">
        <v>1</v>
      </c>
      <c r="K6" s="51" t="inlineStr">
        <is>
          <t>Wednesday</t>
        </is>
      </c>
      <c r="L6" s="52">
        <f>L5+1</f>
        <v/>
      </c>
      <c r="M6" s="51" t="inlineStr">
        <is>
          <t>Follow-up</t>
        </is>
      </c>
      <c r="N6" s="53" t="inlineStr"/>
      <c r="O6" s="51" t="inlineStr">
        <is>
          <t>❌ Not done</t>
        </is>
      </c>
      <c r="P6" s="53" t="inlineStr"/>
    </row>
    <row r="7" ht="18" customHeight="1">
      <c r="A7" s="54" t="n"/>
      <c r="B7" s="54" t="n"/>
      <c r="C7" s="54" t="n"/>
      <c r="D7" s="54" t="n"/>
      <c r="E7" s="51" t="n">
        <v>3</v>
      </c>
      <c r="F7" s="55" t="inlineStr">
        <is>
          <t>Identify warm intro path for each Tier 1 account</t>
        </is>
      </c>
      <c r="G7" s="51" t="inlineStr">
        <is>
          <t>Founder</t>
        </is>
      </c>
      <c r="H7" s="56" t="inlineStr">
        <is>
          <t>❌ Not Started</t>
        </is>
      </c>
      <c r="J7" s="51" t="n">
        <v>1</v>
      </c>
      <c r="K7" s="51" t="inlineStr">
        <is>
          <t>Thursday</t>
        </is>
      </c>
      <c r="L7" s="52">
        <f>L6+1</f>
        <v/>
      </c>
      <c r="M7" s="51" t="inlineStr">
        <is>
          <t>Discovery call</t>
        </is>
      </c>
      <c r="N7" s="53" t="inlineStr"/>
      <c r="O7" s="51" t="inlineStr">
        <is>
          <t>❌ Not done</t>
        </is>
      </c>
      <c r="P7" s="53" t="inlineStr"/>
    </row>
    <row r="8" ht="18" customHeight="1">
      <c r="A8" s="54" t="n"/>
      <c r="B8" s="54" t="n"/>
      <c r="C8" s="54" t="n"/>
      <c r="D8" s="54" t="n"/>
      <c r="E8" s="51" t="n">
        <v>4</v>
      </c>
      <c r="F8" s="55" t="inlineStr">
        <is>
          <t>Draft outreach message — LinkedIn version (3 sentences max)</t>
        </is>
      </c>
      <c r="G8" s="51" t="inlineStr">
        <is>
          <t>Founder</t>
        </is>
      </c>
      <c r="H8" s="56" t="inlineStr">
        <is>
          <t>❌ Not Started</t>
        </is>
      </c>
      <c r="J8" s="51" t="n">
        <v>1</v>
      </c>
      <c r="K8" s="51" t="inlineStr">
        <is>
          <t>Friday</t>
        </is>
      </c>
      <c r="L8" s="52">
        <f>L7+1</f>
        <v/>
      </c>
      <c r="M8" s="51" t="inlineStr">
        <is>
          <t>Strategic review</t>
        </is>
      </c>
      <c r="N8" s="53" t="inlineStr"/>
      <c r="O8" s="51" t="inlineStr">
        <is>
          <t>❌ Not done</t>
        </is>
      </c>
      <c r="P8" s="53" t="inlineStr"/>
    </row>
    <row r="9" ht="18" customHeight="1">
      <c r="A9" s="54" t="n"/>
      <c r="B9" s="54" t="n"/>
      <c r="C9" s="54" t="n"/>
      <c r="D9" s="54" t="n"/>
      <c r="E9" s="51" t="n">
        <v>5</v>
      </c>
      <c r="F9" s="55" t="inlineStr">
        <is>
          <t>Draft outreach message — Email version (5 sentences max)</t>
        </is>
      </c>
      <c r="G9" s="51" t="inlineStr">
        <is>
          <t>Founder</t>
        </is>
      </c>
      <c r="H9" s="56" t="inlineStr">
        <is>
          <t>❌ Not Started</t>
        </is>
      </c>
    </row>
    <row r="10" ht="18" customHeight="1">
      <c r="A10" s="54" t="n"/>
      <c r="B10" s="54" t="n"/>
      <c r="C10" s="54" t="n"/>
      <c r="D10" s="54" t="n"/>
      <c r="E10" s="51" t="n">
        <v>6</v>
      </c>
      <c r="F10" s="55" t="inlineStr">
        <is>
          <t>Draft 1-page pitch teaser PDF</t>
        </is>
      </c>
      <c r="G10" s="51" t="inlineStr">
        <is>
          <t>Founder</t>
        </is>
      </c>
      <c r="H10" s="56" t="inlineStr">
        <is>
          <t>❌ Not Started</t>
        </is>
      </c>
    </row>
    <row r="11" ht="18" customHeight="1">
      <c r="A11" s="54" t="n"/>
      <c r="B11" s="54" t="n"/>
      <c r="C11" s="54" t="n"/>
      <c r="D11" s="54" t="n"/>
      <c r="E11" s="51" t="n">
        <v>7</v>
      </c>
      <c r="F11" s="55" t="inlineStr">
        <is>
          <t>Launch outreach: contact ≥10 Tier 1 accounts</t>
        </is>
      </c>
      <c r="G11" s="51" t="inlineStr">
        <is>
          <t>Founder</t>
        </is>
      </c>
      <c r="H11" s="56" t="inlineStr">
        <is>
          <t>❌ Not Started</t>
        </is>
      </c>
    </row>
    <row r="12" ht="18" customHeight="1">
      <c r="A12" s="54" t="n"/>
      <c r="B12" s="54" t="n"/>
      <c r="C12" s="54" t="n"/>
      <c r="D12" s="54" t="n"/>
      <c r="E12" s="51" t="n">
        <v>8</v>
      </c>
      <c r="F12" s="55" t="inlineStr">
        <is>
          <t>Log all outreach in CRM — same day</t>
        </is>
      </c>
      <c r="G12" s="51" t="inlineStr">
        <is>
          <t>Founder</t>
        </is>
      </c>
      <c r="H12" s="56" t="inlineStr">
        <is>
          <t>❌ Not Started</t>
        </is>
      </c>
    </row>
    <row r="13" ht="18" customHeight="1">
      <c r="A13" s="54" t="n"/>
      <c r="B13" s="54" t="n"/>
      <c r="C13" s="54" t="n"/>
      <c r="D13" s="54" t="n"/>
      <c r="E13" s="51" t="n">
        <v>9</v>
      </c>
      <c r="F13" s="55" t="inlineStr">
        <is>
          <t>Set up all 5 MEOS assets</t>
        </is>
      </c>
      <c r="G13" s="51" t="inlineStr">
        <is>
          <t>Founder</t>
        </is>
      </c>
      <c r="H13" s="56" t="inlineStr">
        <is>
          <t>❌ Not Started</t>
        </is>
      </c>
    </row>
    <row r="14" ht="18" customHeight="1">
      <c r="A14" s="54" t="n"/>
      <c r="B14" s="54" t="n"/>
      <c r="C14" s="54" t="n"/>
      <c r="D14" s="54" t="n"/>
      <c r="E14" s="51" t="n">
        <v>10</v>
      </c>
      <c r="F14" s="55" t="inlineStr">
        <is>
          <t>Fill Day 1 row in Founder Dashboard</t>
        </is>
      </c>
      <c r="G14" s="51" t="inlineStr">
        <is>
          <t>Founder</t>
        </is>
      </c>
      <c r="H14" s="56" t="inlineStr">
        <is>
          <t>❌ Not Started</t>
        </is>
      </c>
    </row>
    <row r="15" ht="6" customHeight="1">
      <c r="A15" s="57" t="n"/>
      <c r="B15" s="57" t="n"/>
      <c r="C15" s="57" t="n"/>
      <c r="D15" s="57" t="n"/>
      <c r="E15" s="57" t="n"/>
      <c r="F15" s="57" t="n"/>
      <c r="G15" s="57" t="n"/>
      <c r="H15" s="57" t="n"/>
      <c r="I15" s="57" t="n"/>
    </row>
    <row r="16" ht="27" customHeight="1">
      <c r="A16" s="58" t="inlineStr">
        <is>
          <t>⛔ WEEKS 2–9 BLOCKED — Source document MEOS_v1.md not available. Ref: Production Spec Asset 5 Calendar Section 7. Populate when source document is received.</t>
        </is>
      </c>
      <c r="B16" s="59" t="n"/>
      <c r="C16" s="59" t="n"/>
      <c r="D16" s="59" t="n"/>
      <c r="E16" s="59" t="n"/>
      <c r="F16" s="59" t="n"/>
      <c r="G16" s="59" t="n"/>
      <c r="H16" s="60" t="n"/>
    </row>
  </sheetData>
  <mergeCells count="3">
    <mergeCell ref="J1:P1"/>
    <mergeCell ref="A16:H16"/>
    <mergeCell ref="A1:H1"/>
  </mergeCells>
  <conditionalFormatting sqref="A4:H200">
    <cfRule type="expression" priority="1" dxfId="12">
      <formula>=$H4="✅ Done"</formula>
    </cfRule>
    <cfRule type="expression" priority="2" dxfId="11">
      <formula>=$H4="🔄 In Progress"</formula>
    </cfRule>
    <cfRule type="expression" priority="3" dxfId="20">
      <formula>=$H4="⚠️ At Risk"</formula>
    </cfRule>
    <cfRule type="expression" priority="4" dxfId="9">
      <formula>=$H4="🚫 Blocked"</formula>
    </cfRule>
    <cfRule type="expression" priority="5" dxfId="21">
      <formula>=AND($A4&lt;&gt;"",$E4="")</formula>
    </cfRule>
  </conditionalFormatting>
  <conditionalFormatting sqref="J4:P100">
    <cfRule type="expression" priority="6" dxfId="12">
      <formula>=$O4="✅ Done"</formula>
    </cfRule>
    <cfRule type="expression" priority="7" dxfId="2">
      <formula>=$O4="❌ Not done"</formula>
    </cfRule>
    <cfRule type="expression" priority="8" dxfId="22">
      <formula>=$O4="↪️ Carried forward"</formula>
    </cfRule>
    <cfRule type="expression" priority="9" dxfId="3">
      <formula>=$L4=TODAY()</formula>
    </cfRule>
  </conditionalFormatting>
  <dataValidations count="5">
    <dataValidation sqref="G4:G200" showDropDown="0" showInputMessage="0" showErrorMessage="1" allowBlank="1" errorTitle="Invalid Entry" error="Select from list" type="list">
      <formula1>"Founder,Advisor,External"</formula1>
    </dataValidation>
    <dataValidation sqref="H4:H200" showDropDown="0" showInputMessage="0" showErrorMessage="1" allowBlank="1" errorTitle="Invalid Entry" error="Select from list" type="list">
      <formula1>"❌ Not Started,🔄 In Progress,✅ Done,⚠️ At Risk,🚫 Blocked"</formula1>
    </dataValidation>
    <dataValidation sqref="K4:K100" showDropDown="0" showInputMessage="0" showErrorMessage="1" allowBlank="1" errorTitle="Invalid Entry" error="Select from list" type="list">
      <formula1>"Monday,Tuesday,Wednesday,Thursday,Friday"</formula1>
    </dataValidation>
    <dataValidation sqref="M4:M100" showDropDown="0" showInputMessage="0" showErrorMessage="1" allowBlank="1" errorTitle="Invalid Entry" error="Select from list" type="list">
      <formula1>"Brand outreach,Follow-up,Discovery call,Proposal/LOI,Admin,Strategic review"</formula1>
    </dataValidation>
    <dataValidation sqref="O4:O100" showDropDown="0" showInputMessage="0" showErrorMessage="1" allowBlank="1" errorTitle="Invalid Entry" error="Select from list" type="list">
      <formula1>"✅ Done,❌ Not done,↪️ Carried forward"</formula1>
    </dataValidation>
  </dataValidations>
  <pageMargins left="0.75" right="0.75" top="1" bottom="1" header="0.5" footer="0.5"/>
  <pageSetup orientation="landscape" fitToHeight="0" fitToWidth="1"/>
  <headerFooter>
    <oddHeader/>
    <oddFooter>&amp;CMEOS v1.0 · Tajribti Track 0 · Built 2026-07-27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2026-07-27T03:06:03Z</dcterms:created>
  <dcterms:modified xmlns:dcterms="http://purl.org/dc/terms/" xmlns:xsi="http://www.w3.org/2001/XMLSchema-instance" xsi:type="dcterms:W3CDTF">2026-07-27T03:31:36Z</dcterms:modified>
</cp:coreProperties>
</file>